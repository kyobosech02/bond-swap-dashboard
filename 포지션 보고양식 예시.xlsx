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지민\교보증권\포지션현황\"/>
    </mc:Choice>
  </mc:AlternateContent>
  <xr:revisionPtr revIDLastSave="0" documentId="13_ncr:1_{5B97951E-4386-445A-A0A8-DC1FB41C2084}" xr6:coauthVersionLast="47" xr6:coauthVersionMax="47" xr10:uidLastSave="{00000000-0000-0000-0000-000000000000}"/>
  <bookViews>
    <workbookView xWindow="0" yWindow="0" windowWidth="14400" windowHeight="15600" xr2:uid="{D44E4101-C58E-4762-A0D0-D07FBAB1C1A9}"/>
  </bookViews>
  <sheets>
    <sheet name="RP운용" sheetId="1" r:id="rId1"/>
    <sheet name="상품채권운용" sheetId="3" r:id="rId2"/>
    <sheet name="9999" sheetId="2" r:id="rId3"/>
    <sheet name="9994" sheetId="4" r:id="rId4"/>
    <sheet name="9992" sheetId="5" r:id="rId5"/>
    <sheet name="7120(원화)" sheetId="6" r:id="rId6"/>
    <sheet name="7120(외화)_K8224" sheetId="7" r:id="rId7"/>
    <sheet name="9988" sheetId="10" r:id="rId8"/>
    <sheet name="8226" sheetId="11" r:id="rId9"/>
    <sheet name="심포니" sheetId="8" r:id="rId10"/>
    <sheet name="국채선물" sheetId="9" r:id="rId11"/>
    <sheet name="일일위험관리(출력)" sheetId="13" r:id="rId12"/>
    <sheet name="Sheet9" sheetId="12" r:id="rId13"/>
  </sheets>
  <externalReferences>
    <externalReference r:id="rId14"/>
  </externalReferences>
  <definedNames>
    <definedName name="_xlnm.Print_Area" localSheetId="11">'일일위험관리(출력)'!$A$1:$I$60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D30" i="9"/>
  <c r="C30" i="9"/>
  <c r="E30" i="9" s="1"/>
  <c r="G26" i="9"/>
  <c r="F26" i="9"/>
  <c r="H26" i="9" s="1"/>
  <c r="E26" i="9"/>
  <c r="H25" i="9"/>
  <c r="G25" i="9"/>
  <c r="F25" i="9"/>
  <c r="E25" i="9"/>
  <c r="G24" i="9"/>
  <c r="F24" i="9"/>
  <c r="H24" i="9" s="1"/>
  <c r="E24" i="9"/>
  <c r="G23" i="9"/>
  <c r="F23" i="9"/>
  <c r="H23" i="9" s="1"/>
  <c r="E23" i="9"/>
  <c r="B23" i="9"/>
  <c r="G22" i="9"/>
  <c r="F22" i="9"/>
  <c r="H22" i="9" s="1"/>
  <c r="E22" i="9"/>
  <c r="B22" i="9"/>
  <c r="G21" i="9"/>
  <c r="F21" i="9"/>
  <c r="H21" i="9" s="1"/>
  <c r="E21" i="9"/>
  <c r="G20" i="9"/>
  <c r="F20" i="9"/>
  <c r="H20" i="9" s="1"/>
  <c r="E20" i="9"/>
  <c r="B20" i="9"/>
  <c r="G19" i="9"/>
  <c r="F19" i="9"/>
  <c r="H19" i="9" s="1"/>
  <c r="E19" i="9"/>
  <c r="G18" i="9"/>
  <c r="H18" i="9" s="1"/>
  <c r="F18" i="9"/>
  <c r="E18" i="9"/>
  <c r="B18" i="9"/>
  <c r="G17" i="9"/>
  <c r="F17" i="9"/>
  <c r="H17" i="9" s="1"/>
  <c r="E17" i="9"/>
  <c r="B17" i="9"/>
  <c r="G16" i="9"/>
  <c r="F16" i="9"/>
  <c r="H16" i="9" s="1"/>
  <c r="E16" i="9"/>
  <c r="B16" i="9"/>
  <c r="G15" i="9"/>
  <c r="F15" i="9"/>
  <c r="H15" i="9" s="1"/>
  <c r="E15" i="9"/>
  <c r="B15" i="9"/>
  <c r="G14" i="9"/>
  <c r="H14" i="9" s="1"/>
  <c r="F14" i="9"/>
  <c r="E14" i="9"/>
  <c r="B14" i="9"/>
  <c r="G13" i="9"/>
  <c r="F13" i="9"/>
  <c r="H13" i="9" s="1"/>
  <c r="E13" i="9"/>
  <c r="B13" i="9"/>
  <c r="G12" i="9"/>
  <c r="F12" i="9"/>
  <c r="H12" i="9" s="1"/>
  <c r="E12" i="9"/>
  <c r="B12" i="9"/>
  <c r="G11" i="9"/>
  <c r="F11" i="9"/>
  <c r="H11" i="9" s="1"/>
  <c r="E11" i="9"/>
  <c r="B11" i="9"/>
  <c r="G10" i="9"/>
  <c r="H10" i="9" s="1"/>
  <c r="F10" i="9"/>
  <c r="E10" i="9"/>
  <c r="B10" i="9"/>
  <c r="G9" i="9"/>
  <c r="F9" i="9"/>
  <c r="H9" i="9" s="1"/>
  <c r="E9" i="9"/>
  <c r="B9" i="9"/>
  <c r="G8" i="9"/>
  <c r="F8" i="9"/>
  <c r="H8" i="9" s="1"/>
  <c r="E8" i="9"/>
  <c r="B8" i="9"/>
  <c r="G7" i="9"/>
  <c r="F7" i="9"/>
  <c r="H7" i="9" s="1"/>
  <c r="E7" i="9"/>
  <c r="B7" i="9"/>
  <c r="G6" i="9"/>
  <c r="H6" i="9" s="1"/>
  <c r="F6" i="9"/>
  <c r="E6" i="9"/>
  <c r="B6" i="9"/>
  <c r="G5" i="9"/>
  <c r="F5" i="9"/>
  <c r="H5" i="9" s="1"/>
  <c r="E5" i="9"/>
  <c r="B5" i="9"/>
  <c r="G4" i="9"/>
  <c r="F4" i="9"/>
  <c r="H4" i="9" s="1"/>
  <c r="E4" i="9"/>
  <c r="B4" i="9"/>
  <c r="G3" i="9"/>
  <c r="F3" i="9"/>
  <c r="H3" i="9" s="1"/>
  <c r="E3" i="9"/>
  <c r="B3" i="9"/>
  <c r="G2" i="9"/>
  <c r="H2" i="9" s="1"/>
  <c r="F2" i="9"/>
  <c r="E2" i="9"/>
  <c r="B2" i="9"/>
  <c r="E138" i="13"/>
  <c r="I110" i="13"/>
  <c r="J108" i="13"/>
  <c r="J107" i="13"/>
  <c r="J109" i="13" s="1"/>
  <c r="J110" i="13" s="1"/>
  <c r="E64" i="13"/>
  <c r="F64" i="13" s="1"/>
  <c r="Q44" i="13"/>
  <c r="P42" i="13"/>
  <c r="P77" i="1" l="1"/>
  <c r="P94" i="3"/>
  <c r="O94" i="3"/>
  <c r="N94" i="3"/>
  <c r="M94" i="3"/>
  <c r="L94" i="3"/>
  <c r="K94" i="3"/>
  <c r="J94" i="3"/>
  <c r="I94" i="3"/>
  <c r="H94" i="3"/>
  <c r="G94" i="3"/>
  <c r="F94" i="3"/>
  <c r="F95" i="3" s="1"/>
  <c r="Q92" i="3"/>
  <c r="Q90" i="3"/>
  <c r="Q88" i="3"/>
  <c r="O87" i="3"/>
  <c r="O95" i="3" s="1"/>
  <c r="N87" i="3"/>
  <c r="N95" i="3" s="1"/>
  <c r="M87" i="3"/>
  <c r="M95" i="3" s="1"/>
  <c r="L87" i="3"/>
  <c r="L95" i="3" s="1"/>
  <c r="P85" i="3"/>
  <c r="P87" i="3" s="1"/>
  <c r="P95" i="3" s="1"/>
  <c r="O85" i="3"/>
  <c r="N85" i="3"/>
  <c r="M85" i="3"/>
  <c r="L85" i="3"/>
  <c r="K85" i="3"/>
  <c r="K87" i="3" s="1"/>
  <c r="K97" i="3" s="1"/>
  <c r="J85" i="3"/>
  <c r="J87" i="3" s="1"/>
  <c r="I85" i="3"/>
  <c r="I87" i="3" s="1"/>
  <c r="H85" i="3"/>
  <c r="H87" i="3" s="1"/>
  <c r="G85" i="3"/>
  <c r="G87" i="3" s="1"/>
  <c r="Q81" i="3"/>
  <c r="Q79" i="3"/>
  <c r="Q77" i="3"/>
  <c r="F72" i="3"/>
  <c r="P71" i="3"/>
  <c r="O71" i="3"/>
  <c r="N71" i="3"/>
  <c r="M71" i="3"/>
  <c r="L71" i="3"/>
  <c r="K71" i="3"/>
  <c r="J71" i="3"/>
  <c r="I71" i="3"/>
  <c r="H71" i="3"/>
  <c r="G71" i="3"/>
  <c r="F71" i="3"/>
  <c r="Q69" i="3"/>
  <c r="Q67" i="3"/>
  <c r="Q65" i="3"/>
  <c r="P62" i="3"/>
  <c r="P64" i="3" s="1"/>
  <c r="O62" i="3"/>
  <c r="O64" i="3" s="1"/>
  <c r="N62" i="3"/>
  <c r="N64" i="3" s="1"/>
  <c r="M62" i="3"/>
  <c r="M64" i="3" s="1"/>
  <c r="L62" i="3"/>
  <c r="L64" i="3" s="1"/>
  <c r="K62" i="3"/>
  <c r="K64" i="3" s="1"/>
  <c r="K72" i="3" s="1"/>
  <c r="J62" i="3"/>
  <c r="J64" i="3" s="1"/>
  <c r="J74" i="3" s="1"/>
  <c r="I62" i="3"/>
  <c r="I64" i="3" s="1"/>
  <c r="I74" i="3" s="1"/>
  <c r="H62" i="3"/>
  <c r="H64" i="3" s="1"/>
  <c r="G62" i="3"/>
  <c r="Q58" i="3"/>
  <c r="Q56" i="3"/>
  <c r="Q54" i="3"/>
  <c r="P48" i="3"/>
  <c r="O48" i="3"/>
  <c r="N48" i="3"/>
  <c r="M48" i="3"/>
  <c r="L48" i="3"/>
  <c r="K48" i="3"/>
  <c r="J48" i="3"/>
  <c r="I48" i="3"/>
  <c r="H48" i="3"/>
  <c r="G48" i="3"/>
  <c r="F48" i="3"/>
  <c r="F49" i="3" s="1"/>
  <c r="Q46" i="3"/>
  <c r="Q44" i="3"/>
  <c r="Q42" i="3"/>
  <c r="P39" i="3"/>
  <c r="P41" i="3" s="1"/>
  <c r="P49" i="3" s="1"/>
  <c r="O39" i="3"/>
  <c r="O41" i="3" s="1"/>
  <c r="O49" i="3" s="1"/>
  <c r="N39" i="3"/>
  <c r="N41" i="3" s="1"/>
  <c r="N49" i="3" s="1"/>
  <c r="M39" i="3"/>
  <c r="M41" i="3" s="1"/>
  <c r="M49" i="3" s="1"/>
  <c r="L39" i="3"/>
  <c r="L41" i="3" s="1"/>
  <c r="K39" i="3"/>
  <c r="K41" i="3" s="1"/>
  <c r="J39" i="3"/>
  <c r="J41" i="3" s="1"/>
  <c r="I39" i="3"/>
  <c r="I41" i="3" s="1"/>
  <c r="H39" i="3"/>
  <c r="H41" i="3" s="1"/>
  <c r="H49" i="3" s="1"/>
  <c r="G39" i="3"/>
  <c r="G41" i="3" s="1"/>
  <c r="G49" i="3" s="1"/>
  <c r="Q35" i="3"/>
  <c r="Q33" i="3"/>
  <c r="Q31" i="3"/>
  <c r="F26" i="3"/>
  <c r="P25" i="3"/>
  <c r="O25" i="3"/>
  <c r="N25" i="3"/>
  <c r="M25" i="3"/>
  <c r="L25" i="3"/>
  <c r="K25" i="3"/>
  <c r="J25" i="3"/>
  <c r="I25" i="3"/>
  <c r="H25" i="3"/>
  <c r="G25" i="3"/>
  <c r="F25" i="3"/>
  <c r="Q23" i="3"/>
  <c r="Q21" i="3"/>
  <c r="Q19" i="3"/>
  <c r="L18" i="3"/>
  <c r="K18" i="3"/>
  <c r="J18" i="3"/>
  <c r="I18" i="3"/>
  <c r="I26" i="3" s="1"/>
  <c r="H18" i="3"/>
  <c r="H26" i="3" s="1"/>
  <c r="G18" i="3"/>
  <c r="P16" i="3"/>
  <c r="O16" i="3"/>
  <c r="O18" i="3" s="1"/>
  <c r="O26" i="3" s="1"/>
  <c r="N16" i="3"/>
  <c r="N18" i="3" s="1"/>
  <c r="N26" i="3" s="1"/>
  <c r="M16" i="3"/>
  <c r="M18" i="3" s="1"/>
  <c r="M26" i="3" s="1"/>
  <c r="L16" i="3"/>
  <c r="K16" i="3"/>
  <c r="J16" i="3"/>
  <c r="I16" i="3"/>
  <c r="H16" i="3"/>
  <c r="G16" i="3"/>
  <c r="Q12" i="3"/>
  <c r="Q10" i="3"/>
  <c r="Q8" i="3"/>
  <c r="O103" i="1"/>
  <c r="N103" i="1"/>
  <c r="M103" i="1"/>
  <c r="L103" i="1"/>
  <c r="K103" i="1"/>
  <c r="J103" i="1"/>
  <c r="I103" i="1"/>
  <c r="H103" i="1"/>
  <c r="G103" i="1"/>
  <c r="F103" i="1"/>
  <c r="E103" i="1"/>
  <c r="E104" i="1" s="1"/>
  <c r="P101" i="1"/>
  <c r="P99" i="1"/>
  <c r="P97" i="1"/>
  <c r="O94" i="1"/>
  <c r="O96" i="1" s="1"/>
  <c r="N94" i="1"/>
  <c r="N96" i="1" s="1"/>
  <c r="M94" i="1"/>
  <c r="M96" i="1" s="1"/>
  <c r="L94" i="1"/>
  <c r="L96" i="1" s="1"/>
  <c r="K94" i="1"/>
  <c r="K96" i="1" s="1"/>
  <c r="J94" i="1"/>
  <c r="J96" i="1" s="1"/>
  <c r="J106" i="1" s="1"/>
  <c r="I94" i="1"/>
  <c r="I96" i="1" s="1"/>
  <c r="I106" i="1" s="1"/>
  <c r="H94" i="1"/>
  <c r="H96" i="1" s="1"/>
  <c r="H106" i="1" s="1"/>
  <c r="G94" i="1"/>
  <c r="G96" i="1" s="1"/>
  <c r="F94" i="1"/>
  <c r="F96" i="1" s="1"/>
  <c r="P90" i="1"/>
  <c r="P88" i="1"/>
  <c r="P86" i="1"/>
  <c r="O71" i="1"/>
  <c r="N71" i="1"/>
  <c r="M71" i="1"/>
  <c r="L71" i="1"/>
  <c r="K71" i="1"/>
  <c r="J71" i="1"/>
  <c r="I71" i="1"/>
  <c r="H71" i="1"/>
  <c r="G71" i="1"/>
  <c r="F71" i="1"/>
  <c r="E71" i="1"/>
  <c r="E72" i="1" s="1"/>
  <c r="P69" i="1"/>
  <c r="P67" i="1"/>
  <c r="P65" i="1"/>
  <c r="O62" i="1"/>
  <c r="O64" i="1" s="1"/>
  <c r="N62" i="1"/>
  <c r="N64" i="1" s="1"/>
  <c r="M62" i="1"/>
  <c r="M64" i="1" s="1"/>
  <c r="L62" i="1"/>
  <c r="L64" i="1" s="1"/>
  <c r="K62" i="1"/>
  <c r="K64" i="1" s="1"/>
  <c r="J62" i="1"/>
  <c r="J64" i="1" s="1"/>
  <c r="I62" i="1"/>
  <c r="I64" i="1" s="1"/>
  <c r="H62" i="1"/>
  <c r="H64" i="1" s="1"/>
  <c r="G62" i="1"/>
  <c r="G64" i="1" s="1"/>
  <c r="F62" i="1"/>
  <c r="F64" i="1" s="1"/>
  <c r="P58" i="1"/>
  <c r="P56" i="1"/>
  <c r="P54" i="1"/>
  <c r="K104" i="1" l="1"/>
  <c r="L104" i="1"/>
  <c r="P71" i="1"/>
  <c r="M104" i="1"/>
  <c r="N104" i="1"/>
  <c r="G72" i="1"/>
  <c r="O104" i="1"/>
  <c r="M72" i="1"/>
  <c r="N72" i="1"/>
  <c r="L72" i="1"/>
  <c r="O72" i="1"/>
  <c r="G104" i="1"/>
  <c r="P106" i="1"/>
  <c r="P103" i="1"/>
  <c r="P62" i="1"/>
  <c r="K72" i="1"/>
  <c r="P72" i="3"/>
  <c r="Q25" i="3"/>
  <c r="N72" i="3"/>
  <c r="O72" i="3"/>
  <c r="H95" i="3"/>
  <c r="H72" i="3"/>
  <c r="Q71" i="3"/>
  <c r="K49" i="3"/>
  <c r="L49" i="3"/>
  <c r="J49" i="3"/>
  <c r="I28" i="3"/>
  <c r="L26" i="3"/>
  <c r="Q16" i="3"/>
  <c r="I49" i="3"/>
  <c r="J26" i="3"/>
  <c r="K26" i="3"/>
  <c r="J28" i="3"/>
  <c r="Q62" i="3"/>
  <c r="Q48" i="3"/>
  <c r="L72" i="3"/>
  <c r="M72" i="3"/>
  <c r="K51" i="3"/>
  <c r="K28" i="3"/>
  <c r="Q39" i="3"/>
  <c r="Q94" i="3"/>
  <c r="J95" i="3"/>
  <c r="J97" i="3"/>
  <c r="G95" i="3"/>
  <c r="Q87" i="3"/>
  <c r="I97" i="3"/>
  <c r="I95" i="3"/>
  <c r="Q41" i="3"/>
  <c r="I51" i="3"/>
  <c r="G64" i="3"/>
  <c r="K74" i="3"/>
  <c r="Q74" i="3" s="1"/>
  <c r="J51" i="3"/>
  <c r="I72" i="3"/>
  <c r="K95" i="3"/>
  <c r="P18" i="3"/>
  <c r="P26" i="3" s="1"/>
  <c r="Q85" i="3"/>
  <c r="J72" i="3"/>
  <c r="G26" i="3"/>
  <c r="P96" i="1"/>
  <c r="F104" i="1"/>
  <c r="I104" i="1"/>
  <c r="H104" i="1"/>
  <c r="J104" i="1"/>
  <c r="P94" i="1"/>
  <c r="P64" i="1"/>
  <c r="H72" i="1"/>
  <c r="H74" i="1"/>
  <c r="I72" i="1"/>
  <c r="I74" i="1"/>
  <c r="J72" i="1"/>
  <c r="J74" i="1"/>
  <c r="F72" i="1"/>
  <c r="O48" i="1"/>
  <c r="N48" i="1"/>
  <c r="M48" i="1"/>
  <c r="L48" i="1"/>
  <c r="K48" i="1"/>
  <c r="J48" i="1"/>
  <c r="I48" i="1"/>
  <c r="H48" i="1"/>
  <c r="G48" i="1"/>
  <c r="F48" i="1"/>
  <c r="E48" i="1"/>
  <c r="E49" i="1" s="1"/>
  <c r="P46" i="1"/>
  <c r="P44" i="1"/>
  <c r="P42" i="1"/>
  <c r="O39" i="1"/>
  <c r="O41" i="1" s="1"/>
  <c r="N39" i="1"/>
  <c r="N41" i="1" s="1"/>
  <c r="M39" i="1"/>
  <c r="M41" i="1" s="1"/>
  <c r="L39" i="1"/>
  <c r="L41" i="1" s="1"/>
  <c r="K39" i="1"/>
  <c r="K41" i="1" s="1"/>
  <c r="J39" i="1"/>
  <c r="J41" i="1" s="1"/>
  <c r="J51" i="1" s="1"/>
  <c r="I39" i="1"/>
  <c r="I41" i="1" s="1"/>
  <c r="I51" i="1" s="1"/>
  <c r="H39" i="1"/>
  <c r="H41" i="1" s="1"/>
  <c r="H51" i="1" s="1"/>
  <c r="P51" i="1" s="1"/>
  <c r="G41" i="1"/>
  <c r="F39" i="1"/>
  <c r="F41" i="1" s="1"/>
  <c r="P35" i="1"/>
  <c r="P33" i="1"/>
  <c r="P31" i="1"/>
  <c r="P21" i="1"/>
  <c r="P19" i="1"/>
  <c r="P23" i="1"/>
  <c r="M25" i="1"/>
  <c r="K25" i="1"/>
  <c r="J25" i="1"/>
  <c r="I25" i="1"/>
  <c r="H25" i="1"/>
  <c r="F25" i="1"/>
  <c r="G25" i="1"/>
  <c r="L25" i="1"/>
  <c r="N25" i="1"/>
  <c r="O25" i="1"/>
  <c r="E25" i="1"/>
  <c r="E26" i="1" s="1"/>
  <c r="P8" i="1"/>
  <c r="P10" i="1"/>
  <c r="P12" i="1"/>
  <c r="G16" i="1"/>
  <c r="G18" i="1" s="1"/>
  <c r="H16" i="1"/>
  <c r="H18" i="1" s="1"/>
  <c r="I16" i="1"/>
  <c r="I18" i="1" s="1"/>
  <c r="J16" i="1"/>
  <c r="J18" i="1" s="1"/>
  <c r="K16" i="1"/>
  <c r="K18" i="1" s="1"/>
  <c r="L16" i="1"/>
  <c r="L18" i="1" s="1"/>
  <c r="M16" i="1"/>
  <c r="M18" i="1" s="1"/>
  <c r="N16" i="1"/>
  <c r="N18" i="1" s="1"/>
  <c r="O16" i="1"/>
  <c r="O18" i="1" s="1"/>
  <c r="F16" i="1"/>
  <c r="F18" i="1" s="1"/>
  <c r="G49" i="1" l="1"/>
  <c r="M49" i="1"/>
  <c r="K49" i="1"/>
  <c r="L49" i="1"/>
  <c r="O49" i="1"/>
  <c r="Q28" i="3"/>
  <c r="Q97" i="3"/>
  <c r="Q64" i="3"/>
  <c r="G72" i="3"/>
  <c r="Q95" i="3"/>
  <c r="S77" i="3" s="1"/>
  <c r="R77" i="3"/>
  <c r="Q49" i="3"/>
  <c r="S31" i="3" s="1"/>
  <c r="R31" i="3"/>
  <c r="Q18" i="3"/>
  <c r="Q51" i="3"/>
  <c r="P104" i="1"/>
  <c r="R86" i="1" s="1"/>
  <c r="Q86" i="1"/>
  <c r="P74" i="1"/>
  <c r="P72" i="1"/>
  <c r="R54" i="1" s="1"/>
  <c r="Q54" i="1"/>
  <c r="N49" i="1"/>
  <c r="P48" i="1"/>
  <c r="P41" i="1"/>
  <c r="F49" i="1"/>
  <c r="H49" i="1"/>
  <c r="I49" i="1"/>
  <c r="J49" i="1"/>
  <c r="P39" i="1"/>
  <c r="G26" i="1"/>
  <c r="K26" i="1"/>
  <c r="J26" i="1"/>
  <c r="J28" i="1"/>
  <c r="F26" i="1"/>
  <c r="N26" i="1"/>
  <c r="P25" i="1"/>
  <c r="O26" i="1"/>
  <c r="L26" i="1"/>
  <c r="H28" i="1"/>
  <c r="H26" i="1"/>
  <c r="I26" i="1"/>
  <c r="M26" i="1"/>
  <c r="I28" i="1"/>
  <c r="P18" i="1"/>
  <c r="P16" i="1"/>
  <c r="R8" i="3" l="1"/>
  <c r="Q26" i="3"/>
  <c r="S8" i="3" s="1"/>
  <c r="Q72" i="3"/>
  <c r="S54" i="3" s="1"/>
  <c r="R54" i="3"/>
  <c r="P49" i="1"/>
  <c r="R31" i="1" s="1"/>
  <c r="Q31" i="1"/>
  <c r="P26" i="1"/>
  <c r="R8" i="1" s="1"/>
  <c r="Q8" i="1"/>
  <c r="P28" i="1"/>
</calcChain>
</file>

<file path=xl/sharedStrings.xml><?xml version="1.0" encoding="utf-8"?>
<sst xmlns="http://schemas.openxmlformats.org/spreadsheetml/2006/main" count="9847" uniqueCount="3449">
  <si>
    <t>구분</t>
    <phoneticPr fontId="1" type="noConversion"/>
  </si>
  <si>
    <t>RP운용</t>
    <phoneticPr fontId="1" type="noConversion"/>
  </si>
  <si>
    <t>상품채권운용</t>
    <phoneticPr fontId="1" type="noConversion"/>
  </si>
  <si>
    <t>CMA RP</t>
    <phoneticPr fontId="1" type="noConversion"/>
  </si>
  <si>
    <t>자격북</t>
    <phoneticPr fontId="1" type="noConversion"/>
  </si>
  <si>
    <t>일반 Prop</t>
    <phoneticPr fontId="1" type="noConversion"/>
  </si>
  <si>
    <t>PD</t>
    <phoneticPr fontId="1" type="noConversion"/>
  </si>
  <si>
    <t>0.5Y</t>
    <phoneticPr fontId="1" type="noConversion"/>
  </si>
  <si>
    <t>1Y</t>
    <phoneticPr fontId="1" type="noConversion"/>
  </si>
  <si>
    <t>1.5Y</t>
    <phoneticPr fontId="1" type="noConversion"/>
  </si>
  <si>
    <t>2Y</t>
    <phoneticPr fontId="1" type="noConversion"/>
  </si>
  <si>
    <t>2.5Y</t>
    <phoneticPr fontId="1" type="noConversion"/>
  </si>
  <si>
    <t>3Y</t>
    <phoneticPr fontId="1" type="noConversion"/>
  </si>
  <si>
    <t>5Y</t>
    <phoneticPr fontId="1" type="noConversion"/>
  </si>
  <si>
    <t>10Y</t>
    <phoneticPr fontId="1" type="noConversion"/>
  </si>
  <si>
    <t>20Y</t>
    <phoneticPr fontId="1" type="noConversion"/>
  </si>
  <si>
    <t>30Y</t>
    <phoneticPr fontId="1" type="noConversion"/>
  </si>
  <si>
    <t>국고/통안</t>
    <phoneticPr fontId="1" type="noConversion"/>
  </si>
  <si>
    <t>여전채</t>
    <phoneticPr fontId="1" type="noConversion"/>
  </si>
  <si>
    <t>은행채</t>
    <phoneticPr fontId="1" type="noConversion"/>
  </si>
  <si>
    <t>특수채</t>
    <phoneticPr fontId="1" type="noConversion"/>
  </si>
  <si>
    <t>소계</t>
    <phoneticPr fontId="1" type="noConversion"/>
  </si>
  <si>
    <t>현물 소계</t>
    <phoneticPr fontId="1" type="noConversion"/>
  </si>
  <si>
    <t>선물 3Y</t>
    <phoneticPr fontId="1" type="noConversion"/>
  </si>
  <si>
    <t>선물 10Y</t>
    <phoneticPr fontId="1" type="noConversion"/>
  </si>
  <si>
    <t>IRS</t>
    <phoneticPr fontId="1" type="noConversion"/>
  </si>
  <si>
    <t>파생 Delta</t>
    <phoneticPr fontId="1" type="noConversion"/>
  </si>
  <si>
    <t>현물 Delta</t>
    <phoneticPr fontId="1" type="noConversion"/>
  </si>
  <si>
    <t>Delta 합계</t>
    <phoneticPr fontId="1" type="noConversion"/>
  </si>
  <si>
    <t>0.25Y</t>
    <phoneticPr fontId="1" type="noConversion"/>
  </si>
  <si>
    <t>BS Sp Delta</t>
    <phoneticPr fontId="1" type="noConversion"/>
  </si>
  <si>
    <t>(-100)</t>
    <phoneticPr fontId="1" type="noConversion"/>
  </si>
  <si>
    <t>(+50)</t>
    <phoneticPr fontId="1" type="noConversion"/>
  </si>
  <si>
    <t>(-50)</t>
    <phoneticPr fontId="1" type="noConversion"/>
  </si>
  <si>
    <t>(-300)</t>
    <phoneticPr fontId="1" type="noConversion"/>
  </si>
  <si>
    <t>(+200)</t>
    <phoneticPr fontId="1" type="noConversion"/>
  </si>
  <si>
    <t>헷지 후 Dur.</t>
    <phoneticPr fontId="1" type="noConversion"/>
  </si>
  <si>
    <t>(-150)</t>
    <phoneticPr fontId="1" type="noConversion"/>
  </si>
  <si>
    <t>(단위)   수량 : 억 / Delta : 백만원</t>
    <phoneticPr fontId="1" type="noConversion"/>
  </si>
  <si>
    <t>헷지 전 Dur.</t>
    <phoneticPr fontId="1" type="noConversion"/>
  </si>
  <si>
    <t>일반 RP
(증금 RP포함)</t>
    <phoneticPr fontId="1" type="noConversion"/>
  </si>
  <si>
    <t>외화 RP
(원화 운용)</t>
    <phoneticPr fontId="1" type="noConversion"/>
  </si>
  <si>
    <t>외화 부채 (USD)</t>
    <phoneticPr fontId="1" type="noConversion"/>
  </si>
  <si>
    <t>RP 전체</t>
    <phoneticPr fontId="1" type="noConversion"/>
  </si>
  <si>
    <t>소액채권</t>
    <phoneticPr fontId="1" type="noConversion"/>
  </si>
  <si>
    <t>원화 Prop</t>
    <phoneticPr fontId="1" type="noConversion"/>
  </si>
  <si>
    <t>외화 Prop</t>
    <phoneticPr fontId="1" type="noConversion"/>
  </si>
  <si>
    <t>Treasury 선물</t>
    <phoneticPr fontId="1" type="noConversion"/>
  </si>
  <si>
    <t>매각 RP</t>
    <phoneticPr fontId="1" type="noConversion"/>
  </si>
  <si>
    <t>고객예탁금</t>
    <phoneticPr fontId="1" type="noConversion"/>
  </si>
  <si>
    <t>외화 자산 (USD)</t>
    <phoneticPr fontId="1" type="noConversion"/>
  </si>
  <si>
    <t>외화 채권</t>
    <phoneticPr fontId="1" type="noConversion"/>
  </si>
  <si>
    <t>FX Spot</t>
    <phoneticPr fontId="1" type="noConversion"/>
  </si>
  <si>
    <t>FWD</t>
    <phoneticPr fontId="1" type="noConversion"/>
  </si>
  <si>
    <t>증금예치금</t>
    <phoneticPr fontId="1" type="noConversion"/>
  </si>
  <si>
    <t>Net Exposure</t>
    <phoneticPr fontId="1" type="noConversion"/>
  </si>
  <si>
    <t>Spot</t>
    <phoneticPr fontId="1" type="noConversion"/>
  </si>
  <si>
    <t>1W</t>
    <phoneticPr fontId="1" type="noConversion"/>
  </si>
  <si>
    <t>2W</t>
    <phoneticPr fontId="1" type="noConversion"/>
  </si>
  <si>
    <t>1M</t>
    <phoneticPr fontId="1" type="noConversion"/>
  </si>
  <si>
    <t>2M</t>
    <phoneticPr fontId="1" type="noConversion"/>
  </si>
  <si>
    <t>3M</t>
    <phoneticPr fontId="1" type="noConversion"/>
  </si>
  <si>
    <t>6M</t>
    <phoneticPr fontId="1" type="noConversion"/>
  </si>
  <si>
    <t>USD</t>
    <phoneticPr fontId="1" type="noConversion"/>
  </si>
  <si>
    <t>(단위) Million</t>
    <phoneticPr fontId="1" type="noConversion"/>
  </si>
  <si>
    <t>합계</t>
    <phoneticPr fontId="1" type="noConversion"/>
  </si>
  <si>
    <t>신용</t>
    <phoneticPr fontId="1" type="noConversion"/>
  </si>
  <si>
    <t>시장</t>
    <phoneticPr fontId="1" type="noConversion"/>
  </si>
  <si>
    <t>한도</t>
    <phoneticPr fontId="1" type="noConversion"/>
  </si>
  <si>
    <t>현 수치</t>
    <phoneticPr fontId="1" type="noConversion"/>
  </si>
  <si>
    <t>소진율</t>
    <phoneticPr fontId="1" type="noConversion"/>
  </si>
  <si>
    <t>포지션</t>
    <phoneticPr fontId="1" type="noConversion"/>
  </si>
  <si>
    <t>규제자본(NCR)</t>
    <phoneticPr fontId="1" type="noConversion"/>
  </si>
  <si>
    <t>리스크자본(VaR)</t>
    <phoneticPr fontId="1" type="noConversion"/>
  </si>
  <si>
    <t>회사채, ABS통합</t>
    <phoneticPr fontId="1" type="noConversion"/>
  </si>
  <si>
    <t>ABS</t>
    <phoneticPr fontId="1" type="noConversion"/>
  </si>
  <si>
    <t>지방공사채(AA등급 이하)</t>
    <phoneticPr fontId="1" type="noConversion"/>
  </si>
  <si>
    <t>&lt;한도 관리&gt;</t>
    <phoneticPr fontId="1" type="noConversion"/>
  </si>
  <si>
    <t>주요 거래 내역</t>
    <phoneticPr fontId="1" type="noConversion"/>
  </si>
  <si>
    <t>4. 채권운용부 일일 위험 및 한도관리 (전일체결기준)</t>
    <phoneticPr fontId="1" type="noConversion"/>
  </si>
  <si>
    <t>(단위: 억, 년, %)</t>
    <phoneticPr fontId="1" type="noConversion"/>
  </si>
  <si>
    <t xml:space="preserve"> 1. 규제자본(NCR) 관리</t>
    <phoneticPr fontId="1" type="noConversion"/>
  </si>
  <si>
    <t xml:space="preserve">  2. 포지션한도관리</t>
    <phoneticPr fontId="1" type="noConversion"/>
  </si>
  <si>
    <t>한도(억)</t>
    <phoneticPr fontId="1" type="noConversion"/>
  </si>
  <si>
    <t>채권운용</t>
    <phoneticPr fontId="1" type="noConversion"/>
  </si>
  <si>
    <t>RP운용</t>
  </si>
  <si>
    <t>B/F운용</t>
  </si>
  <si>
    <t xml:space="preserve">  3. 채권운용 현물한도관리</t>
    <phoneticPr fontId="1" type="noConversion"/>
  </si>
  <si>
    <t xml:space="preserve"> 4. 리스크자본 관리</t>
    <phoneticPr fontId="1" type="noConversion"/>
  </si>
  <si>
    <t xml:space="preserve"> 5. DVO1</t>
    <phoneticPr fontId="1" type="noConversion"/>
  </si>
  <si>
    <t>Book</t>
    <phoneticPr fontId="1" type="noConversion"/>
  </si>
  <si>
    <t>DVO1(억)</t>
    <phoneticPr fontId="1" type="noConversion"/>
  </si>
  <si>
    <t>매도가능</t>
    <phoneticPr fontId="1" type="noConversion"/>
  </si>
  <si>
    <t>외화채권운용</t>
    <phoneticPr fontId="1" type="noConversion"/>
  </si>
  <si>
    <t>일반RP</t>
    <phoneticPr fontId="1" type="noConversion"/>
  </si>
  <si>
    <t>CMA</t>
    <phoneticPr fontId="1" type="noConversion"/>
  </si>
  <si>
    <t>증금RP</t>
    <phoneticPr fontId="1" type="noConversion"/>
  </si>
  <si>
    <t>외화RP</t>
    <phoneticPr fontId="1" type="noConversion"/>
  </si>
  <si>
    <t>부서합계*</t>
    <phoneticPr fontId="1" type="noConversion"/>
  </si>
  <si>
    <t>주식운용</t>
    <phoneticPr fontId="1" type="noConversion"/>
  </si>
  <si>
    <t>합   계</t>
    <phoneticPr fontId="1" type="noConversion"/>
  </si>
  <si>
    <t>* B/F제외</t>
    <phoneticPr fontId="1" type="noConversion"/>
  </si>
  <si>
    <t xml:space="preserve"> 6. 듀레이션관리</t>
    <phoneticPr fontId="1" type="noConversion"/>
  </si>
  <si>
    <t>판정</t>
    <phoneticPr fontId="1" type="noConversion"/>
  </si>
  <si>
    <t>비고</t>
    <phoneticPr fontId="1" type="noConversion"/>
  </si>
  <si>
    <t>45,000억</t>
    <phoneticPr fontId="1" type="noConversion"/>
  </si>
  <si>
    <t>총량기준
(3,000억*10년
+5,000억*3년)</t>
    <phoneticPr fontId="1" type="noConversion"/>
  </si>
  <si>
    <t>부서전체</t>
    <phoneticPr fontId="1" type="noConversion"/>
  </si>
  <si>
    <t>-</t>
    <phoneticPr fontId="1" type="noConversion"/>
  </si>
  <si>
    <t>듀레이션
기준</t>
    <phoneticPr fontId="1" type="noConversion"/>
  </si>
  <si>
    <t>RP운용(CMA, 증금, 외화RP포함)</t>
    <phoneticPr fontId="1" type="noConversion"/>
  </si>
  <si>
    <t>1년</t>
    <phoneticPr fontId="1" type="noConversion"/>
  </si>
  <si>
    <t>CMA운용</t>
    <phoneticPr fontId="1" type="noConversion"/>
  </si>
  <si>
    <t>0.5년</t>
    <phoneticPr fontId="1" type="noConversion"/>
  </si>
  <si>
    <t>7. 기타한도관리</t>
    <phoneticPr fontId="1" type="noConversion"/>
  </si>
  <si>
    <t xml:space="preserve">   1) 채권운용Book</t>
    <phoneticPr fontId="1" type="noConversion"/>
  </si>
  <si>
    <t>회사채, CD, CP 통합한도</t>
    <phoneticPr fontId="1" type="noConversion"/>
  </si>
  <si>
    <t>1500억</t>
    <phoneticPr fontId="1" type="noConversion"/>
  </si>
  <si>
    <t>회사채(A+), CP,유동화(A2+) 이하한도</t>
    <phoneticPr fontId="1" type="noConversion"/>
  </si>
  <si>
    <t>400억</t>
    <phoneticPr fontId="1" type="noConversion"/>
  </si>
  <si>
    <t>유동화증권한도</t>
    <phoneticPr fontId="1" type="noConversion"/>
  </si>
  <si>
    <t>월말 300억</t>
    <phoneticPr fontId="1" type="noConversion"/>
  </si>
  <si>
    <t>2) RP운용 Book</t>
    <phoneticPr fontId="1" type="noConversion"/>
  </si>
  <si>
    <t>회사채, ABS통합한도</t>
    <phoneticPr fontId="1" type="noConversion"/>
  </si>
  <si>
    <t>ABS 한도</t>
    <phoneticPr fontId="1" type="noConversion"/>
  </si>
  <si>
    <t>지방공사채(AA등급이하)한도</t>
    <phoneticPr fontId="1" type="noConversion"/>
  </si>
  <si>
    <t xml:space="preserve">   4) 주식운용Book</t>
    <phoneticPr fontId="1" type="noConversion"/>
  </si>
  <si>
    <t>200억</t>
    <phoneticPr fontId="1" type="noConversion"/>
  </si>
  <si>
    <t>월말 100억</t>
    <phoneticPr fontId="1" type="noConversion"/>
  </si>
  <si>
    <t>OK</t>
  </si>
  <si>
    <t>펀드번호</t>
    <phoneticPr fontId="1" type="noConversion"/>
  </si>
  <si>
    <t>펀드종류</t>
    <phoneticPr fontId="1" type="noConversion"/>
  </si>
  <si>
    <t>KTB</t>
    <phoneticPr fontId="1" type="noConversion"/>
  </si>
  <si>
    <t>LKTB</t>
    <phoneticPr fontId="1" type="noConversion"/>
  </si>
  <si>
    <t>KTB환산</t>
    <phoneticPr fontId="1" type="noConversion"/>
  </si>
  <si>
    <t>LKTB환산</t>
    <phoneticPr fontId="1" type="noConversion"/>
  </si>
  <si>
    <t>환산합</t>
    <phoneticPr fontId="1" type="noConversion"/>
  </si>
  <si>
    <t>중개</t>
    <phoneticPr fontId="1" type="noConversion"/>
  </si>
  <si>
    <t>운용</t>
    <phoneticPr fontId="1" type="noConversion"/>
  </si>
  <si>
    <t xml:space="preserve"> RP</t>
    <phoneticPr fontId="1" type="noConversion"/>
  </si>
  <si>
    <t>듀레이션</t>
    <phoneticPr fontId="1" type="noConversion"/>
  </si>
  <si>
    <t>체크3823</t>
    <phoneticPr fontId="1" type="noConversion"/>
  </si>
  <si>
    <t>인포3650</t>
    <phoneticPr fontId="1" type="noConversion"/>
  </si>
  <si>
    <t>선물가격</t>
    <phoneticPr fontId="1" type="noConversion"/>
  </si>
  <si>
    <t>펀드코드</t>
  </si>
  <si>
    <t>평가일자</t>
  </si>
  <si>
    <t>채권종류</t>
  </si>
  <si>
    <t>종목코드</t>
  </si>
  <si>
    <t>종목명</t>
  </si>
  <si>
    <t>만기일자</t>
  </si>
  <si>
    <t>표면이율</t>
  </si>
  <si>
    <t>수량</t>
  </si>
  <si>
    <t>장부금액</t>
  </si>
  <si>
    <t>평가수익율</t>
  </si>
  <si>
    <t>평가단가</t>
  </si>
  <si>
    <t>평가금액</t>
  </si>
  <si>
    <t>평가손익금액</t>
  </si>
  <si>
    <t>채권이자</t>
  </si>
  <si>
    <t>당기미수이자</t>
  </si>
  <si>
    <t>전기미수이자</t>
  </si>
  <si>
    <t>경과이자</t>
  </si>
  <si>
    <t>단가구분</t>
  </si>
  <si>
    <t>법인세예수금</t>
  </si>
  <si>
    <t>법인세</t>
  </si>
  <si>
    <t>주민세</t>
  </si>
  <si>
    <t>듀레이션</t>
  </si>
  <si>
    <t>수정듀레이션</t>
  </si>
  <si>
    <t>컨백시티</t>
  </si>
  <si>
    <t>신용등급</t>
  </si>
  <si>
    <t>KBP단가</t>
  </si>
  <si>
    <t>KBP등급</t>
  </si>
  <si>
    <t>KIS단가</t>
  </si>
  <si>
    <t>KIS등급</t>
  </si>
  <si>
    <t>NICE단가</t>
  </si>
  <si>
    <t>NICE등급</t>
  </si>
  <si>
    <t>회계구분</t>
  </si>
  <si>
    <t>이자율구분</t>
  </si>
  <si>
    <t>매수일자</t>
  </si>
  <si>
    <t>ESG구분</t>
  </si>
  <si>
    <t xml:space="preserve">표준종목코드 </t>
  </si>
  <si>
    <t>발행방법</t>
  </si>
  <si>
    <t>권리구분</t>
  </si>
  <si>
    <t>국채</t>
  </si>
  <si>
    <t>C03501GG3</t>
  </si>
  <si>
    <t>국고채권03500-5603(26-2)</t>
  </si>
  <si>
    <t>일반채권</t>
  </si>
  <si>
    <t>해당없음</t>
  </si>
  <si>
    <t>KR103501GG39</t>
  </si>
  <si>
    <t>공모채직접발행</t>
  </si>
  <si>
    <t>L0350C269</t>
  </si>
  <si>
    <t>국고채이자분리채권03290-2609</t>
  </si>
  <si>
    <t>KRC0350C2694</t>
  </si>
  <si>
    <t>L0350C26C</t>
  </si>
  <si>
    <t>국고채이자분리채권03580-2612</t>
  </si>
  <si>
    <t>KRC0350C26C0</t>
  </si>
  <si>
    <t>L0350C273</t>
  </si>
  <si>
    <t>국고채이자분리채권03260-2703</t>
  </si>
  <si>
    <t>KRC0350C2736</t>
  </si>
  <si>
    <t>L0350C276</t>
  </si>
  <si>
    <t>국고채이자분리채권03540-2706</t>
  </si>
  <si>
    <t>KRC0350C2769</t>
  </si>
  <si>
    <t>L0350C279</t>
  </si>
  <si>
    <t>국고채이자분리채권03560-2709</t>
  </si>
  <si>
    <t>KRC0350C2793</t>
  </si>
  <si>
    <t>L0350C283</t>
  </si>
  <si>
    <t>국고채이자분리채권03520-2803</t>
  </si>
  <si>
    <t>KRC0350C2835</t>
  </si>
  <si>
    <t>L0350C286</t>
  </si>
  <si>
    <t>국고채이자분리채권03460-2806</t>
  </si>
  <si>
    <t>KRC0350C2868</t>
  </si>
  <si>
    <t>L0350C289</t>
  </si>
  <si>
    <t>국고채이자분리채권01880-2809</t>
  </si>
  <si>
    <t>KRC0350C2892</t>
  </si>
  <si>
    <t>L0350C293</t>
  </si>
  <si>
    <t>국고채이자분리채권01880-2903</t>
  </si>
  <si>
    <t>KRC0350C2934</t>
  </si>
  <si>
    <t>L0350C299</t>
  </si>
  <si>
    <t>국고채이자분리채권01880-2909</t>
  </si>
  <si>
    <t>KRC0350C2991</t>
  </si>
  <si>
    <t>L0350C29C</t>
  </si>
  <si>
    <t>국고채이자분리채권03350-2912</t>
  </si>
  <si>
    <t>KRC0350C29C4</t>
  </si>
  <si>
    <t>L0350C303</t>
  </si>
  <si>
    <t>국고채이자분리채권01870-3003</t>
  </si>
  <si>
    <t>KRC0350C3031</t>
  </si>
  <si>
    <t>L0350C309</t>
  </si>
  <si>
    <t>국고채이자분리채권01870-3009</t>
  </si>
  <si>
    <t>KRC0350C3098</t>
  </si>
  <si>
    <t>L0350C313</t>
  </si>
  <si>
    <t>국고채이자분리채권01870-3103</t>
  </si>
  <si>
    <t>KRC0350C3130</t>
  </si>
  <si>
    <t>L0350C316</t>
  </si>
  <si>
    <t>국고채이자분리채권02810-3106</t>
  </si>
  <si>
    <t>KRC0350C3163</t>
  </si>
  <si>
    <t>L0350C319</t>
  </si>
  <si>
    <t>국고채이자분리채권01860-3109</t>
  </si>
  <si>
    <t>KRC0350C3197</t>
  </si>
  <si>
    <t>L0350C31C</t>
  </si>
  <si>
    <t>국고채이자분리채권02780-3112</t>
  </si>
  <si>
    <t>KRC0350C31C0</t>
  </si>
  <si>
    <t>L0350C323</t>
  </si>
  <si>
    <t>국고채이자분리채권01860-3203</t>
  </si>
  <si>
    <t>KRC0350C3239</t>
  </si>
  <si>
    <t>L0350C326</t>
  </si>
  <si>
    <t>국고채이자분리채권02320-3206</t>
  </si>
  <si>
    <t>KRC0350C3262</t>
  </si>
  <si>
    <t>L0350C329</t>
  </si>
  <si>
    <t>국고채이자분리채권01850-3209</t>
  </si>
  <si>
    <t>KRC0350C3296</t>
  </si>
  <si>
    <t>L0350C333</t>
  </si>
  <si>
    <t>국고채이자분리채권01840-3303</t>
  </si>
  <si>
    <t>KRC0350C3338</t>
  </si>
  <si>
    <t>L0350C339</t>
  </si>
  <si>
    <t>국고채이자분리채권01840-3309</t>
  </si>
  <si>
    <t>KRC0350C3395</t>
  </si>
  <si>
    <t>L0350C343</t>
  </si>
  <si>
    <t>국고채이자분리채권01830-3403</t>
  </si>
  <si>
    <t>KRC0350C3437</t>
  </si>
  <si>
    <t>L0350C346</t>
  </si>
  <si>
    <t>국고채이자분리채권02250-3406</t>
  </si>
  <si>
    <t>KRC0350C3460</t>
  </si>
  <si>
    <t>L0350C349</t>
  </si>
  <si>
    <t>국고채이자분리채권01820-3409</t>
  </si>
  <si>
    <t>KRC0350C3494</t>
  </si>
  <si>
    <t>L0350C34C</t>
  </si>
  <si>
    <t>국고채이자분리채권02240-3412</t>
  </si>
  <si>
    <t>KRC0350C34C4</t>
  </si>
  <si>
    <t>L0350C353</t>
  </si>
  <si>
    <t>국고채이자분리채권01820-3503</t>
  </si>
  <si>
    <t>KRC0350C3536</t>
  </si>
  <si>
    <t>L0350C356</t>
  </si>
  <si>
    <t>국고채이자분리채권02220-3506</t>
  </si>
  <si>
    <t>KRC0350C3569</t>
  </si>
  <si>
    <t>L0350C359</t>
  </si>
  <si>
    <t>국고채이자분리채권01810-3509</t>
  </si>
  <si>
    <t>KRC0350C3593</t>
  </si>
  <si>
    <t>L0350C35C</t>
  </si>
  <si>
    <t>국고채이자분리채권02210-3512</t>
  </si>
  <si>
    <t>KRC0350C35C1</t>
  </si>
  <si>
    <t>L0350C363</t>
  </si>
  <si>
    <t>국고채이자분리채권01640-3603</t>
  </si>
  <si>
    <t>KRC0350C3635</t>
  </si>
  <si>
    <t>L0350C366</t>
  </si>
  <si>
    <t>국고채이자분리채권02190-3606</t>
  </si>
  <si>
    <t>KRC0350C3668</t>
  </si>
  <si>
    <t>L0350C369</t>
  </si>
  <si>
    <t>국고채이자분리채권01630-3609</t>
  </si>
  <si>
    <t>KRC0350C3692</t>
  </si>
  <si>
    <t>L0350C36C</t>
  </si>
  <si>
    <t>국고채이자분리채권02170-3612</t>
  </si>
  <si>
    <t>KRC0350C36C9</t>
  </si>
  <si>
    <t>L0350C373</t>
  </si>
  <si>
    <t>국고채이자분리채권01630-3703</t>
  </si>
  <si>
    <t>KRC0350C3734</t>
  </si>
  <si>
    <t>L0350C376</t>
  </si>
  <si>
    <t>국고채이자분리채권02160-3706</t>
  </si>
  <si>
    <t>KRC0350C3767</t>
  </si>
  <si>
    <t>L0350C379</t>
  </si>
  <si>
    <t>국고채이자분리채권01620-3709</t>
  </si>
  <si>
    <t>KRC0350C3791</t>
  </si>
  <si>
    <t>L0350C37C</t>
  </si>
  <si>
    <t>국고채이자분리채권02140-3712</t>
  </si>
  <si>
    <t>KRC0350C37C7</t>
  </si>
  <si>
    <t>L0350C383</t>
  </si>
  <si>
    <t>국고채이자분리채권01610-3803</t>
  </si>
  <si>
    <t>KRC0350C3833</t>
  </si>
  <si>
    <t>L0350C386</t>
  </si>
  <si>
    <t>국고채이자분리채권02130-3806</t>
  </si>
  <si>
    <t>KRC0350C3866</t>
  </si>
  <si>
    <t>L0350C389</t>
  </si>
  <si>
    <t>국고채이자분리채권01610-3809</t>
  </si>
  <si>
    <t>KRC0350C3890</t>
  </si>
  <si>
    <t>L0350C38C</t>
  </si>
  <si>
    <t>국고채이자분리채권02110-3812</t>
  </si>
  <si>
    <t>KRC0350C38C5</t>
  </si>
  <si>
    <t>L0350C393</t>
  </si>
  <si>
    <t>국고채이자분리채권01600-3903</t>
  </si>
  <si>
    <t>KRC0350C3932</t>
  </si>
  <si>
    <t>L0350C396</t>
  </si>
  <si>
    <t>국고채이자분리채권02100-3906</t>
  </si>
  <si>
    <t>KRC0350C3965</t>
  </si>
  <si>
    <t>L0350C399</t>
  </si>
  <si>
    <t>국고채이자분리채권01590-3909</t>
  </si>
  <si>
    <t>KRC0350C3999</t>
  </si>
  <si>
    <t>L0350C39C</t>
  </si>
  <si>
    <t>국고채이자분리채권02090-3912</t>
  </si>
  <si>
    <t>KRC0350C39C3</t>
  </si>
  <si>
    <t>L0350C403</t>
  </si>
  <si>
    <t>국고채이자분리채권01590-4003</t>
  </si>
  <si>
    <t>KRC0350C4039</t>
  </si>
  <si>
    <t>L0350C406</t>
  </si>
  <si>
    <t>국고채이자분리채권02070-4006</t>
  </si>
  <si>
    <t>KRC0350C4062</t>
  </si>
  <si>
    <t>L0350C409</t>
  </si>
  <si>
    <t>국고채이자분리채권01580-4009</t>
  </si>
  <si>
    <t>KRC0350C4096</t>
  </si>
  <si>
    <t>L0350C40C</t>
  </si>
  <si>
    <t>국고채이자분리채권02060-4012</t>
  </si>
  <si>
    <t>KRC0350C40C1</t>
  </si>
  <si>
    <t>L0350C413</t>
  </si>
  <si>
    <t>국고채이자분리채권01580-4103</t>
  </si>
  <si>
    <t>KRC0350C4138</t>
  </si>
  <si>
    <t>L0350C416</t>
  </si>
  <si>
    <t>국고채이자분리채권02050-4106</t>
  </si>
  <si>
    <t>KRC0350C4161</t>
  </si>
  <si>
    <t>L0350C419</t>
  </si>
  <si>
    <t>국고채이자분리채권01570-4109</t>
  </si>
  <si>
    <t>KRC0350C4195</t>
  </si>
  <si>
    <t>L0350C41C</t>
  </si>
  <si>
    <t>국고채이자분리채권02030-4112</t>
  </si>
  <si>
    <t>KRC0350C41C9</t>
  </si>
  <si>
    <t>L0350C423</t>
  </si>
  <si>
    <t>국고채이자분리채권01560-4203</t>
  </si>
  <si>
    <t>KRC0350C4237</t>
  </si>
  <si>
    <t>L0350C426</t>
  </si>
  <si>
    <t>국고채이자분리채권02020-4206</t>
  </si>
  <si>
    <t>KRC0350C4260</t>
  </si>
  <si>
    <t>L0350C429</t>
  </si>
  <si>
    <t>국고채이자분리채권01560-4209</t>
  </si>
  <si>
    <t>KRC0350C4294</t>
  </si>
  <si>
    <t>L0350C42C</t>
  </si>
  <si>
    <t>국고채이자분리채권02010-4212</t>
  </si>
  <si>
    <t>KRC0350C42C7</t>
  </si>
  <si>
    <t>L0350C433</t>
  </si>
  <si>
    <t>국고채이자분리채권01550-4303</t>
  </si>
  <si>
    <t>KRC0350C4336</t>
  </si>
  <si>
    <t>L0350C436</t>
  </si>
  <si>
    <t>국고채이자분리채권01970-4306</t>
  </si>
  <si>
    <t>KRC0350C4369</t>
  </si>
  <si>
    <t>L0350C439</t>
  </si>
  <si>
    <t>국고채이자분리채권01540-4309</t>
  </si>
  <si>
    <t>KRC0350C4393</t>
  </si>
  <si>
    <t>L0350C43C</t>
  </si>
  <si>
    <t>국고채이자분리채권01950-4312</t>
  </si>
  <si>
    <t>KRC0350C43C5</t>
  </si>
  <si>
    <t>L0350C443</t>
  </si>
  <si>
    <t>국고채이자분리채권01540-4403</t>
  </si>
  <si>
    <t>KRC0350C4435</t>
  </si>
  <si>
    <t>L0350C446</t>
  </si>
  <si>
    <t>국고채이자분리채권01940-4406</t>
  </si>
  <si>
    <t>KRC0350C4468</t>
  </si>
  <si>
    <t>L0350C449</t>
  </si>
  <si>
    <t>국고채이자분리채권01530-4409</t>
  </si>
  <si>
    <t>KRC0350C4492</t>
  </si>
  <si>
    <t>L0350C44C</t>
  </si>
  <si>
    <t>국고채이자분리채권01930-4412</t>
  </si>
  <si>
    <t>KRC0350C44C3</t>
  </si>
  <si>
    <t>L0350C453</t>
  </si>
  <si>
    <t>국고채이자분리채권01530-4503</t>
  </si>
  <si>
    <t>KRC0350C4534</t>
  </si>
  <si>
    <t>L0350C459</t>
  </si>
  <si>
    <t>국고채이자분리채권01520-4509</t>
  </si>
  <si>
    <t>KRC0350C4591</t>
  </si>
  <si>
    <t>L0350C463</t>
  </si>
  <si>
    <t>국고채이자분리채권01510-4603</t>
  </si>
  <si>
    <t>KRC0350C4633</t>
  </si>
  <si>
    <t>L0353P266</t>
  </si>
  <si>
    <t>국고채원금분리채권03620-2606(23-4)</t>
  </si>
  <si>
    <t>KRC0353P2662</t>
  </si>
  <si>
    <t>L0355P269</t>
  </si>
  <si>
    <t>국고채원금분리채권03290-2609(21-7)</t>
  </si>
  <si>
    <t>KRC0355P2694</t>
  </si>
  <si>
    <t>L035AP26C</t>
  </si>
  <si>
    <t>국고채원금분리채권03580-2612(16-8)</t>
  </si>
  <si>
    <t>KRC035AP26C3</t>
  </si>
  <si>
    <t>C01501DB4</t>
  </si>
  <si>
    <t>국민주택1종채권21-04</t>
  </si>
  <si>
    <t>KR101501DB49</t>
  </si>
  <si>
    <t>C01501DD3</t>
  </si>
  <si>
    <t>국민주택1종채권23-03</t>
  </si>
  <si>
    <t>KR101501DD39</t>
  </si>
  <si>
    <t>C01501DEB</t>
  </si>
  <si>
    <t>국민주택1종채권24-11</t>
  </si>
  <si>
    <t>KR101501DEB7</t>
  </si>
  <si>
    <t>C01501DEC</t>
  </si>
  <si>
    <t>국민주택1종채권24-12</t>
  </si>
  <si>
    <t>KR101501DEC5</t>
  </si>
  <si>
    <t>C01501DF1</t>
  </si>
  <si>
    <t>국민주택1종채권25-01</t>
  </si>
  <si>
    <t>KR101501DF11</t>
  </si>
  <si>
    <t>C01501DF2</t>
  </si>
  <si>
    <t>국민주택1종채권25-02</t>
  </si>
  <si>
    <t>KR101501DF29</t>
  </si>
  <si>
    <t>C01501DF8</t>
  </si>
  <si>
    <t>국민주택1종채권25-08</t>
  </si>
  <si>
    <t>KR101501DF86</t>
  </si>
  <si>
    <t>C01501DFC</t>
  </si>
  <si>
    <t>국민주택1종채권25-12</t>
  </si>
  <si>
    <t>KR101501DFC2</t>
  </si>
  <si>
    <t>C01501DG2</t>
  </si>
  <si>
    <t>국민주택1종채권26-02</t>
  </si>
  <si>
    <t>KR101501DG28</t>
  </si>
  <si>
    <t>C01501DG3</t>
  </si>
  <si>
    <t>국민주택1종채권26-03</t>
  </si>
  <si>
    <t>KR101501DG36</t>
  </si>
  <si>
    <t>C01501DG4</t>
  </si>
  <si>
    <t>국민주택1종채권26-04</t>
  </si>
  <si>
    <t>KR101501DG44</t>
  </si>
  <si>
    <t>지방채</t>
  </si>
  <si>
    <t>D00102495</t>
  </si>
  <si>
    <t>서울도시철도공채증권19-05</t>
  </si>
  <si>
    <t>KR2001024950</t>
  </si>
  <si>
    <t>D00102497</t>
  </si>
  <si>
    <t>서울도시철도공채증권19-07</t>
  </si>
  <si>
    <t>KR2001024976</t>
  </si>
  <si>
    <t>D0010249C</t>
  </si>
  <si>
    <t>서울도시철도공채증권19-12</t>
  </si>
  <si>
    <t>KR20010249C5</t>
  </si>
  <si>
    <t>D001024B5</t>
  </si>
  <si>
    <t>서울도시철도공채증권21-05</t>
  </si>
  <si>
    <t>KR2001024B55</t>
  </si>
  <si>
    <t>D001024C1</t>
  </si>
  <si>
    <t>서울도시철도공채증권22-01</t>
  </si>
  <si>
    <t>KR2001024C13</t>
  </si>
  <si>
    <t>D001024C5</t>
  </si>
  <si>
    <t>서울도시철도공채증권22-05</t>
  </si>
  <si>
    <t>KR2001024C54</t>
  </si>
  <si>
    <t>D001024C6</t>
  </si>
  <si>
    <t>서울도시철도공채증권22-06</t>
  </si>
  <si>
    <t>KR2001024C62</t>
  </si>
  <si>
    <t>D001024D1</t>
  </si>
  <si>
    <t>서울도시철도공채증권23-01</t>
  </si>
  <si>
    <t>KR2001024D12</t>
  </si>
  <si>
    <t>D001024D2</t>
  </si>
  <si>
    <t>서울도시철도공채증권23-02</t>
  </si>
  <si>
    <t>KR2001024D20</t>
  </si>
  <si>
    <t>D001024D3</t>
  </si>
  <si>
    <t>서울도시철도공채증권23-03</t>
  </si>
  <si>
    <t>KR2001024D38</t>
  </si>
  <si>
    <t>D001024D7</t>
  </si>
  <si>
    <t>서울도시철도공채증권23-07</t>
  </si>
  <si>
    <t>KR2001024D79</t>
  </si>
  <si>
    <t>D001024D8</t>
  </si>
  <si>
    <t>서울도시철도공채증권23-08</t>
  </si>
  <si>
    <t>KR2001024D87</t>
  </si>
  <si>
    <t>D001024DB</t>
  </si>
  <si>
    <t>서울도시철도공채증권23-11</t>
  </si>
  <si>
    <t>KR2001024DB0</t>
  </si>
  <si>
    <t>D001024DC</t>
  </si>
  <si>
    <t>서울도시철도공채증권23-12</t>
  </si>
  <si>
    <t>KR2001024DC8</t>
  </si>
  <si>
    <t>D001024E1</t>
  </si>
  <si>
    <t>서울도시철도공채증권24-01</t>
  </si>
  <si>
    <t>KR2001024E11</t>
  </si>
  <si>
    <t>D001024E2</t>
  </si>
  <si>
    <t>서울도시철도공채증권24-02</t>
  </si>
  <si>
    <t>KR2001024E29</t>
  </si>
  <si>
    <t>D001024E3</t>
  </si>
  <si>
    <t>서울도시철도공채증권24-03</t>
  </si>
  <si>
    <t>KR2001024E37</t>
  </si>
  <si>
    <t>D001024E6</t>
  </si>
  <si>
    <t>서울도시철도공채증권24-06</t>
  </si>
  <si>
    <t>KR2001024E60</t>
  </si>
  <si>
    <t>D001024E7</t>
  </si>
  <si>
    <t>서울도시철도공채증권24-07</t>
  </si>
  <si>
    <t>KR2001024E78</t>
  </si>
  <si>
    <t>D001024E8</t>
  </si>
  <si>
    <t>서울도시철도공채증권24-08</t>
  </si>
  <si>
    <t>KR2001024E86</t>
  </si>
  <si>
    <t>D001024EC</t>
  </si>
  <si>
    <t>서울도시철도공채증권24-12</t>
  </si>
  <si>
    <t>KR2001024EC6</t>
  </si>
  <si>
    <t>D001024F2</t>
  </si>
  <si>
    <t>서울도시철도공채증권25-02</t>
  </si>
  <si>
    <t>KR2001024F28</t>
  </si>
  <si>
    <t>D001024F3</t>
  </si>
  <si>
    <t>서울도시철도공채증권25-03</t>
  </si>
  <si>
    <t>KR2001024F36</t>
  </si>
  <si>
    <t>D001024F5</t>
  </si>
  <si>
    <t>서울도시철도공채증권25-05</t>
  </si>
  <si>
    <t>KR2001024F51</t>
  </si>
  <si>
    <t>D001024F6</t>
  </si>
  <si>
    <t>서울도시철도공채증권25-06</t>
  </si>
  <si>
    <t>KR2001024F69</t>
  </si>
  <si>
    <t>D001024F7</t>
  </si>
  <si>
    <t>서울도시철도공채증권25-07</t>
  </si>
  <si>
    <t>KR2001024F77</t>
  </si>
  <si>
    <t>D001024F8</t>
  </si>
  <si>
    <t>서울도시철도공채증권25-08</t>
  </si>
  <si>
    <t>KR2001024F85</t>
  </si>
  <si>
    <t>D001024F9</t>
  </si>
  <si>
    <t>서울도시철도공채증권25-09</t>
  </si>
  <si>
    <t>KR2001024F93</t>
  </si>
  <si>
    <t>D001024FA</t>
  </si>
  <si>
    <t>서울도시철도공채증권25-10</t>
  </si>
  <si>
    <t>KR2001024FA7</t>
  </si>
  <si>
    <t>D001024G3</t>
  </si>
  <si>
    <t>서울도시철도공채증권26-03</t>
  </si>
  <si>
    <t>KR2001024G35</t>
  </si>
  <si>
    <t>D001024G4</t>
  </si>
  <si>
    <t>서울도시철도공채증권26-04</t>
  </si>
  <si>
    <t>KR2001024G43</t>
  </si>
  <si>
    <t>D001034B6</t>
  </si>
  <si>
    <t>서울도시철도공채증권21-06</t>
  </si>
  <si>
    <t>KR2001034B61</t>
  </si>
  <si>
    <t>D001034BB</t>
  </si>
  <si>
    <t>서울도시철도공채증권21-11</t>
  </si>
  <si>
    <t>KR2001034BB3</t>
  </si>
  <si>
    <t>D001034BC</t>
  </si>
  <si>
    <t>서울도시철도공채증권21-12</t>
  </si>
  <si>
    <t>KR2001034BC1</t>
  </si>
  <si>
    <t>D001044B4</t>
  </si>
  <si>
    <t>서울도시철도공채증권21-04</t>
  </si>
  <si>
    <t>KR2001044B44</t>
  </si>
  <si>
    <t>D001054B7</t>
  </si>
  <si>
    <t>서울도시철도공채증권21-07</t>
  </si>
  <si>
    <t>KR2001054B74</t>
  </si>
  <si>
    <t>D001094B3</t>
  </si>
  <si>
    <t>서울도시철도공채증권21-03</t>
  </si>
  <si>
    <t>KR2001094B35</t>
  </si>
  <si>
    <t>D001124B2</t>
  </si>
  <si>
    <t>서울도시철도공채증권21-02</t>
  </si>
  <si>
    <t>KR2001124B21</t>
  </si>
  <si>
    <t>D001274A6</t>
  </si>
  <si>
    <t>서울도시철도공채증권20-06</t>
  </si>
  <si>
    <t>KR2001274A61</t>
  </si>
  <si>
    <t>D001274AA</t>
  </si>
  <si>
    <t>서울도시철도공채증권20-10</t>
  </si>
  <si>
    <t>KR2001274AA9</t>
  </si>
  <si>
    <t>D001274AC</t>
  </si>
  <si>
    <t>서울도시철도공채증권20-12</t>
  </si>
  <si>
    <t>KR2001274AC5</t>
  </si>
  <si>
    <t>D001284A7</t>
  </si>
  <si>
    <t>서울도시철도공채증권20-07</t>
  </si>
  <si>
    <t>KR2001284A77</t>
  </si>
  <si>
    <t>D002012B4</t>
  </si>
  <si>
    <t>강원지역개발채권21-04</t>
  </si>
  <si>
    <t>KR2002012B40</t>
  </si>
  <si>
    <t>D002012B5</t>
  </si>
  <si>
    <t>강원지역개발채권21-05</t>
  </si>
  <si>
    <t>KR2002012B57</t>
  </si>
  <si>
    <t>D002012B6</t>
  </si>
  <si>
    <t>강원지역개발채권21-06</t>
  </si>
  <si>
    <t>KR2002012B65</t>
  </si>
  <si>
    <t>D002012B7</t>
  </si>
  <si>
    <t>강원지역개발채권21-07</t>
  </si>
  <si>
    <t>KR2002012B73</t>
  </si>
  <si>
    <t>D002012B8</t>
  </si>
  <si>
    <t>강원지역개발채권21-08</t>
  </si>
  <si>
    <t>KR2002012B81</t>
  </si>
  <si>
    <t>D002012B9</t>
  </si>
  <si>
    <t>강원지역개발채권21-09</t>
  </si>
  <si>
    <t>KR2002012B99</t>
  </si>
  <si>
    <t>D002012C5</t>
  </si>
  <si>
    <t>강원지역개발채권22-05</t>
  </si>
  <si>
    <t>KR2002012C56</t>
  </si>
  <si>
    <t>D002012C8</t>
  </si>
  <si>
    <t>강원지역개발채권22-08</t>
  </si>
  <si>
    <t>KR2002012C80</t>
  </si>
  <si>
    <t>D002012CC</t>
  </si>
  <si>
    <t>강원지역개발채권22-12</t>
  </si>
  <si>
    <t>KR2002012CC4</t>
  </si>
  <si>
    <t>D002012D1</t>
  </si>
  <si>
    <t>강원지역개발채권23-01</t>
  </si>
  <si>
    <t>KR2002012D14</t>
  </si>
  <si>
    <t>D002012D2</t>
  </si>
  <si>
    <t>강원지역개발채권23-02</t>
  </si>
  <si>
    <t>KR2002012D22</t>
  </si>
  <si>
    <t>D002012D3</t>
  </si>
  <si>
    <t>강원지역개발채권23-03</t>
  </si>
  <si>
    <t>KR2002012D30</t>
  </si>
  <si>
    <t>D002012D4</t>
  </si>
  <si>
    <t>강원지역개발채권23-04</t>
  </si>
  <si>
    <t>KR2002012D48</t>
  </si>
  <si>
    <t>D002012DA</t>
  </si>
  <si>
    <t>강원지역개발채권23-10</t>
  </si>
  <si>
    <t>KR2002012DA6</t>
  </si>
  <si>
    <t>D002012DB</t>
  </si>
  <si>
    <t>강원지역개발채권23-11</t>
  </si>
  <si>
    <t>KR2002012DB4</t>
  </si>
  <si>
    <t>D002012EC</t>
  </si>
  <si>
    <t>강원지역개발채권24-12</t>
  </si>
  <si>
    <t>KR2002012EC0</t>
  </si>
  <si>
    <t>D002012F1</t>
  </si>
  <si>
    <t>강원지역개발채권25-01</t>
  </si>
  <si>
    <t>KR2002012F12</t>
  </si>
  <si>
    <t>D002012F2</t>
  </si>
  <si>
    <t>강원지역개발채권25-02</t>
  </si>
  <si>
    <t>KR2002012F20</t>
  </si>
  <si>
    <t>D002022BA</t>
  </si>
  <si>
    <t>강원지역개발채권21-10</t>
  </si>
  <si>
    <t>KR2002022BA9</t>
  </si>
  <si>
    <t>D002022BB</t>
  </si>
  <si>
    <t>강원지역개발채권21-11</t>
  </si>
  <si>
    <t>KR2002022BB7</t>
  </si>
  <si>
    <t>D002022BC</t>
  </si>
  <si>
    <t>강원지역개발채권21-12</t>
  </si>
  <si>
    <t>KR2002022BC5</t>
  </si>
  <si>
    <t>D002022C2</t>
  </si>
  <si>
    <t>강원지역개발채권22-02</t>
  </si>
  <si>
    <t>KR2002022C21</t>
  </si>
  <si>
    <t>D002022C3</t>
  </si>
  <si>
    <t>강원지역개발채권22-03</t>
  </si>
  <si>
    <t>KR2002022C39</t>
  </si>
  <si>
    <t>D002022C4</t>
  </si>
  <si>
    <t>강원지역개발채권22-04</t>
  </si>
  <si>
    <t>KR2002022C47</t>
  </si>
  <si>
    <t>D002022C6</t>
  </si>
  <si>
    <t>강원지역개발채권22-06</t>
  </si>
  <si>
    <t>KR2002022C62</t>
  </si>
  <si>
    <t>D002022D7</t>
  </si>
  <si>
    <t>강원지역개발채권23-07</t>
  </si>
  <si>
    <t>KR2002022D79</t>
  </si>
  <si>
    <t>D002022DC</t>
  </si>
  <si>
    <t>강원지역개발채권23-12</t>
  </si>
  <si>
    <t>KR2002022DC1</t>
  </si>
  <si>
    <t>D002022E1</t>
  </si>
  <si>
    <t>강원지역개발채권24-01</t>
  </si>
  <si>
    <t>KR2002022E11</t>
  </si>
  <si>
    <t>D002022E2</t>
  </si>
  <si>
    <t>강원지역개발채권24-02</t>
  </si>
  <si>
    <t>KR2002022E29</t>
  </si>
  <si>
    <t>D002022E4</t>
  </si>
  <si>
    <t>강원지역개발채권24-04</t>
  </si>
  <si>
    <t>KR2002022E45</t>
  </si>
  <si>
    <t>D002022E5</t>
  </si>
  <si>
    <t>강원지역개발채권24-05</t>
  </si>
  <si>
    <t>KR2002022E52</t>
  </si>
  <si>
    <t>D002022E7</t>
  </si>
  <si>
    <t>강원지역개발채권24-07</t>
  </si>
  <si>
    <t>KR2002022E78</t>
  </si>
  <si>
    <t>D002022E8</t>
  </si>
  <si>
    <t>강원지역개발채권24-08</t>
  </si>
  <si>
    <t>KR2002022E86</t>
  </si>
  <si>
    <t>D002022E9</t>
  </si>
  <si>
    <t>강원지역개발채권24-09</t>
  </si>
  <si>
    <t>KR2002022E94</t>
  </si>
  <si>
    <t>D002022EA</t>
  </si>
  <si>
    <t>강원지역개발채권24-10</t>
  </si>
  <si>
    <t>KR2002022EA3</t>
  </si>
  <si>
    <t>D002022EB</t>
  </si>
  <si>
    <t>강원지역개발채권24-11</t>
  </si>
  <si>
    <t>KR2002022EB1</t>
  </si>
  <si>
    <t>D002022F3</t>
  </si>
  <si>
    <t>강원지역개발채권25-03</t>
  </si>
  <si>
    <t>KR2002022F36</t>
  </si>
  <si>
    <t>D002022F5</t>
  </si>
  <si>
    <t>강원지역개발채권25-05</t>
  </si>
  <si>
    <t>KR2002022F51</t>
  </si>
  <si>
    <t>D002022F6</t>
  </si>
  <si>
    <t>강원지역개발채권25-06</t>
  </si>
  <si>
    <t>KR2002022F69</t>
  </si>
  <si>
    <t>D002022F7</t>
  </si>
  <si>
    <t>강원지역개발채권25-07</t>
  </si>
  <si>
    <t>KR2002022F77</t>
  </si>
  <si>
    <t>D002022F8</t>
  </si>
  <si>
    <t>강원지역개발채권25-08</t>
  </si>
  <si>
    <t>KR2002022F85</t>
  </si>
  <si>
    <t>D002022F9</t>
  </si>
  <si>
    <t>강원지역개발채권25-09</t>
  </si>
  <si>
    <t>KR2002022F93</t>
  </si>
  <si>
    <t>D002022FA</t>
  </si>
  <si>
    <t>강원지역개발채권25-10</t>
  </si>
  <si>
    <t>KR2002022FA0</t>
  </si>
  <si>
    <t>D002022FB</t>
  </si>
  <si>
    <t>강원지역개발채권25-11</t>
  </si>
  <si>
    <t>KR2002022FB8</t>
  </si>
  <si>
    <t>D002022FC</t>
  </si>
  <si>
    <t>강원지역개발채권25-12</t>
  </si>
  <si>
    <t>KR2002022FC6</t>
  </si>
  <si>
    <t>D002022G1</t>
  </si>
  <si>
    <t>강원지역개발채권26-01</t>
  </si>
  <si>
    <t>KR2002022G19</t>
  </si>
  <si>
    <t>D002022G2</t>
  </si>
  <si>
    <t>강원지역개발채권26-02</t>
  </si>
  <si>
    <t>KR2002022G27</t>
  </si>
  <si>
    <t>D002022G4</t>
  </si>
  <si>
    <t>강원지역개발채권26-04</t>
  </si>
  <si>
    <t>KR2002022G43</t>
  </si>
  <si>
    <t>D002032D5</t>
  </si>
  <si>
    <t>강원지역개발채권23-05</t>
  </si>
  <si>
    <t>KR2002032D51</t>
  </si>
  <si>
    <t>D003012B5</t>
  </si>
  <si>
    <t>대전지역개발채권21-05</t>
  </si>
  <si>
    <t>KR2003012B55</t>
  </si>
  <si>
    <t>D003012B8</t>
  </si>
  <si>
    <t>대전지역개발채권21-08</t>
  </si>
  <si>
    <t>KR2003012B89</t>
  </si>
  <si>
    <t>D003012B9</t>
  </si>
  <si>
    <t>대전지역개발채권21-09</t>
  </si>
  <si>
    <t>KR2003012B97</t>
  </si>
  <si>
    <t>D003012D1</t>
  </si>
  <si>
    <t>대전지역개발채권23-01</t>
  </si>
  <si>
    <t>KR2003012D12</t>
  </si>
  <si>
    <t>D003012D6</t>
  </si>
  <si>
    <t>대전지역개발채권23-06</t>
  </si>
  <si>
    <t>KR2003012D61</t>
  </si>
  <si>
    <t>D003012D9</t>
  </si>
  <si>
    <t>대전지역개발채권23-09</t>
  </si>
  <si>
    <t>KR2003012D95</t>
  </si>
  <si>
    <t>D003012DA</t>
  </si>
  <si>
    <t>대전지역개발채권23-10</t>
  </si>
  <si>
    <t>KR2003012DA5</t>
  </si>
  <si>
    <t>D003012F1</t>
  </si>
  <si>
    <t>대전지역개발채권25-01</t>
  </si>
  <si>
    <t>KR2003012F10</t>
  </si>
  <si>
    <t>D003022B4</t>
  </si>
  <si>
    <t>대전지역개발채권21-04</t>
  </si>
  <si>
    <t>KR2003022B46</t>
  </si>
  <si>
    <t>D003022BA</t>
  </si>
  <si>
    <t>대전지역개발채권21-10</t>
  </si>
  <si>
    <t>KR2003022BA8</t>
  </si>
  <si>
    <t>D003022BB</t>
  </si>
  <si>
    <t>대전지역개발채권21-11</t>
  </si>
  <si>
    <t>KR2003022BB6</t>
  </si>
  <si>
    <t>D003022BC</t>
  </si>
  <si>
    <t>대전지역개발채권21-12</t>
  </si>
  <si>
    <t>KR2003022BC4</t>
  </si>
  <si>
    <t>D003022C2</t>
  </si>
  <si>
    <t>대전지역개발채권22-02</t>
  </si>
  <si>
    <t>KR2003022C29</t>
  </si>
  <si>
    <t>D003022C3</t>
  </si>
  <si>
    <t>대전지역개발채권22-03</t>
  </si>
  <si>
    <t>KR2003022C37</t>
  </si>
  <si>
    <t>D003022C4</t>
  </si>
  <si>
    <t>대전지역개발채권22-04</t>
  </si>
  <si>
    <t>KR2003022C45</t>
  </si>
  <si>
    <t>D003022C6</t>
  </si>
  <si>
    <t>대전지역개발채권22-06</t>
  </si>
  <si>
    <t>KR2003022C60</t>
  </si>
  <si>
    <t>D003022C7</t>
  </si>
  <si>
    <t>대전지역개발채권22-07</t>
  </si>
  <si>
    <t>KR2003022C78</t>
  </si>
  <si>
    <t>D003022C9</t>
  </si>
  <si>
    <t>대전지역개발채권22-09</t>
  </si>
  <si>
    <t>KR2003022C94</t>
  </si>
  <si>
    <t>D003022CA</t>
  </si>
  <si>
    <t>대전지역개발채권22-10</t>
  </si>
  <si>
    <t>KR2003022CA6</t>
  </si>
  <si>
    <t>D003022CC</t>
  </si>
  <si>
    <t>대전지역개발채권22-12</t>
  </si>
  <si>
    <t>KR2003022CC2</t>
  </si>
  <si>
    <t>D003022D4</t>
  </si>
  <si>
    <t>대전지역개발채권23-04</t>
  </si>
  <si>
    <t>KR2003022D44</t>
  </si>
  <si>
    <t>D003022D5</t>
  </si>
  <si>
    <t>대전지역개발채권23-05</t>
  </si>
  <si>
    <t>KR2003022D51</t>
  </si>
  <si>
    <t>D003022D7</t>
  </si>
  <si>
    <t>대전지역개발채권23-07</t>
  </si>
  <si>
    <t>KR2003022D77</t>
  </si>
  <si>
    <t>D003022D8</t>
  </si>
  <si>
    <t>대전지역개발채권23-08</t>
  </si>
  <si>
    <t>KR2003022D85</t>
  </si>
  <si>
    <t>D003022DB</t>
  </si>
  <si>
    <t>대전지역개발채권23-11</t>
  </si>
  <si>
    <t>KR2003022DB2</t>
  </si>
  <si>
    <t>D003022DC</t>
  </si>
  <si>
    <t>대전지역개발채권23-12</t>
  </si>
  <si>
    <t>KR2003022DC0</t>
  </si>
  <si>
    <t>D003022E3</t>
  </si>
  <si>
    <t>대전지역개발채권24-03</t>
  </si>
  <si>
    <t>KR2003022E35</t>
  </si>
  <si>
    <t>D003022E6</t>
  </si>
  <si>
    <t>대전지역개발채권24-06</t>
  </si>
  <si>
    <t>KR2003022E68</t>
  </si>
  <si>
    <t>D003022E7</t>
  </si>
  <si>
    <t>대전지역개발채권24-07</t>
  </si>
  <si>
    <t>KR2003022E76</t>
  </si>
  <si>
    <t>D003022E8</t>
  </si>
  <si>
    <t>대전지역개발채권24-08</t>
  </si>
  <si>
    <t>KR2003022E84</t>
  </si>
  <si>
    <t>D003022E9</t>
  </si>
  <si>
    <t>대전지역개발채권24-09</t>
  </si>
  <si>
    <t>KR2003022E92</t>
  </si>
  <si>
    <t>D003022EA</t>
  </si>
  <si>
    <t>대전지역개발채권24-10</t>
  </si>
  <si>
    <t>KR2003022EA2</t>
  </si>
  <si>
    <t>D003022EB</t>
  </si>
  <si>
    <t>대전지역개발채권24-11</t>
  </si>
  <si>
    <t>KR2003022EB0</t>
  </si>
  <si>
    <t>D003022EC</t>
  </si>
  <si>
    <t>대전지역개발채권24-12</t>
  </si>
  <si>
    <t>KR2003022EC8</t>
  </si>
  <si>
    <t>D003022F2</t>
  </si>
  <si>
    <t>대전지역개발채권25-02</t>
  </si>
  <si>
    <t>KR2003022F26</t>
  </si>
  <si>
    <t>D003022F3</t>
  </si>
  <si>
    <t>대전지역개발채권25-03</t>
  </si>
  <si>
    <t>KR2003022F34</t>
  </si>
  <si>
    <t>D003022F4</t>
  </si>
  <si>
    <t>대전지역개발채권25-04</t>
  </si>
  <si>
    <t>KR2003022F42</t>
  </si>
  <si>
    <t>D003022F5</t>
  </si>
  <si>
    <t>대전지역개발채권25-05</t>
  </si>
  <si>
    <t>KR2003022F59</t>
  </si>
  <si>
    <t>D003022F6</t>
  </si>
  <si>
    <t>대전지역개발채권25-06</t>
  </si>
  <si>
    <t>KR2003022F67</t>
  </si>
  <si>
    <t>D003022F7</t>
  </si>
  <si>
    <t>대전지역개발채권25-07</t>
  </si>
  <si>
    <t>KR2003022F75</t>
  </si>
  <si>
    <t>D003022F8</t>
  </si>
  <si>
    <t>대전지역개발채권25-08</t>
  </si>
  <si>
    <t>KR2003022F83</t>
  </si>
  <si>
    <t>D003022F9</t>
  </si>
  <si>
    <t>대전지역개발채권25-09</t>
  </si>
  <si>
    <t>KR2003022F91</t>
  </si>
  <si>
    <t>D003022FA</t>
  </si>
  <si>
    <t>대전지역개발채권25-10</t>
  </si>
  <si>
    <t>KR2003022FA9</t>
  </si>
  <si>
    <t>D003022FB</t>
  </si>
  <si>
    <t>대전지역개발채권25-11</t>
  </si>
  <si>
    <t>KR2003022FB7</t>
  </si>
  <si>
    <t>D003022FC</t>
  </si>
  <si>
    <t>대전지역개발채권25-12</t>
  </si>
  <si>
    <t>KR2003022FC5</t>
  </si>
  <si>
    <t>D003022G1</t>
  </si>
  <si>
    <t>대전지역개발채권26-01</t>
  </si>
  <si>
    <t>KR2003022G17</t>
  </si>
  <si>
    <t>D003022G2</t>
  </si>
  <si>
    <t>대전지역개발채권26-02</t>
  </si>
  <si>
    <t>KR2003022G25</t>
  </si>
  <si>
    <t>D003022G4</t>
  </si>
  <si>
    <t>대전지역개발채권26-04</t>
  </si>
  <si>
    <t>KR2003022G41</t>
  </si>
  <si>
    <t>D004012B6</t>
  </si>
  <si>
    <t>인천지역개발채권21-06</t>
  </si>
  <si>
    <t>KR2004012B61</t>
  </si>
  <si>
    <t>D004012B7</t>
  </si>
  <si>
    <t>인천지역개발채권21-07</t>
  </si>
  <si>
    <t>KR2004012B79</t>
  </si>
  <si>
    <t>D004012BB</t>
  </si>
  <si>
    <t>인천지역개발채권21-11</t>
  </si>
  <si>
    <t>KR2004012BB6</t>
  </si>
  <si>
    <t>D004012C2</t>
  </si>
  <si>
    <t>인천지역개발채권22-02</t>
  </si>
  <si>
    <t>KR2004012C29</t>
  </si>
  <si>
    <t>D004012C3</t>
  </si>
  <si>
    <t>인천지역개발채권22-03</t>
  </si>
  <si>
    <t>KR2004012C37</t>
  </si>
  <si>
    <t>D004012C5</t>
  </si>
  <si>
    <t>인천지역개발채권22-05</t>
  </si>
  <si>
    <t>KR2004012C52</t>
  </si>
  <si>
    <t>D004012DB</t>
  </si>
  <si>
    <t>인천지역개발채권23-11</t>
  </si>
  <si>
    <t>KR2004012DB2</t>
  </si>
  <si>
    <t>D004012EB</t>
  </si>
  <si>
    <t>인천지역개발채권24-11</t>
  </si>
  <si>
    <t>KR2004012EB0</t>
  </si>
  <si>
    <t>D004012F1</t>
  </si>
  <si>
    <t>인천지역개발채권25-01</t>
  </si>
  <si>
    <t>KR2004012F18</t>
  </si>
  <si>
    <t>D004012F2</t>
  </si>
  <si>
    <t>인천지역개발채권25-02</t>
  </si>
  <si>
    <t>KR2004012F26</t>
  </si>
  <si>
    <t>D004022BC</t>
  </si>
  <si>
    <t>인천지역개발채권21-12</t>
  </si>
  <si>
    <t>KR2004022BC3</t>
  </si>
  <si>
    <t>D004022C8</t>
  </si>
  <si>
    <t>인천지역개발채권22-08</t>
  </si>
  <si>
    <t>KR2004022C84</t>
  </si>
  <si>
    <t>D004022CB</t>
  </si>
  <si>
    <t>인천지역개발채권22-11</t>
  </si>
  <si>
    <t>KR2004022CB3</t>
  </si>
  <si>
    <t>D004022CC</t>
  </si>
  <si>
    <t>인천지역개발채권22-12</t>
  </si>
  <si>
    <t>KR2004022CC1</t>
  </si>
  <si>
    <t>D004022D1</t>
  </si>
  <si>
    <t>인천지역개발채권23-01</t>
  </si>
  <si>
    <t>KR2004022D18</t>
  </si>
  <si>
    <t>D004022D2</t>
  </si>
  <si>
    <t>인천지역개발채권23-02</t>
  </si>
  <si>
    <t>KR2004022D26</t>
  </si>
  <si>
    <t>D004022D5</t>
  </si>
  <si>
    <t>인천지역개발채권23-05</t>
  </si>
  <si>
    <t>KR2004022D59</t>
  </si>
  <si>
    <t>D004022D6</t>
  </si>
  <si>
    <t>인천지역개발채권23-06</t>
  </si>
  <si>
    <t>KR2004022D67</t>
  </si>
  <si>
    <t>D004022D7</t>
  </si>
  <si>
    <t>인천지역개발채권23-07</t>
  </si>
  <si>
    <t>KR2004022D75</t>
  </si>
  <si>
    <t>D004022D8</t>
  </si>
  <si>
    <t>인천지역개발채권23-08</t>
  </si>
  <si>
    <t>KR2004022D83</t>
  </si>
  <si>
    <t>D004022D9</t>
  </si>
  <si>
    <t>인천지역개발채권23-09</t>
  </si>
  <si>
    <t>KR2004022D91</t>
  </si>
  <si>
    <t>D004022DA</t>
  </si>
  <si>
    <t>인천지역개발채권23-10</t>
  </si>
  <si>
    <t>KR2004022DA3</t>
  </si>
  <si>
    <t>D004022DC</t>
  </si>
  <si>
    <t>인천지역개발채권23-12</t>
  </si>
  <si>
    <t>KR2004022DC9</t>
  </si>
  <si>
    <t>D004022E3</t>
  </si>
  <si>
    <t>인천지역개발채권24-03</t>
  </si>
  <si>
    <t>KR2004022E33</t>
  </si>
  <si>
    <t>D004022E4</t>
  </si>
  <si>
    <t>인천지역개발채권24-04</t>
  </si>
  <si>
    <t>KR2004022E41</t>
  </si>
  <si>
    <t>D004022E5</t>
  </si>
  <si>
    <t>인천지역개발채권24-05</t>
  </si>
  <si>
    <t>KR2004022E58</t>
  </si>
  <si>
    <t>D004022E6</t>
  </si>
  <si>
    <t>인천지역개발채권24-06</t>
  </si>
  <si>
    <t>KR2004022E66</t>
  </si>
  <si>
    <t>D004022E7</t>
  </si>
  <si>
    <t>인천지역개발채권24-07</t>
  </si>
  <si>
    <t>KR2004022E74</t>
  </si>
  <si>
    <t>D004022E8</t>
  </si>
  <si>
    <t>인천지역개발채권24-08</t>
  </si>
  <si>
    <t>KR2004022E82</t>
  </si>
  <si>
    <t>D004022E9</t>
  </si>
  <si>
    <t>인천지역개발채권24-09</t>
  </si>
  <si>
    <t>KR2004022E90</t>
  </si>
  <si>
    <t>D004022EA</t>
  </si>
  <si>
    <t>인천지역개발채권24-10</t>
  </si>
  <si>
    <t>KR2004022EA1</t>
  </si>
  <si>
    <t>D004022EC</t>
  </si>
  <si>
    <t>인천지역개발채권24-12</t>
  </si>
  <si>
    <t>KR2004022EC7</t>
  </si>
  <si>
    <t>D004022F5</t>
  </si>
  <si>
    <t>인천지역개발채권25-05</t>
  </si>
  <si>
    <t>KR2004022F57</t>
  </si>
  <si>
    <t>D004022F6</t>
  </si>
  <si>
    <t>인천지역개발채권25-06</t>
  </si>
  <si>
    <t>KR2004022F65</t>
  </si>
  <si>
    <t>D004022F7</t>
  </si>
  <si>
    <t>인천지역개발채권25-07</t>
  </si>
  <si>
    <t>KR2004022F73</t>
  </si>
  <si>
    <t>D004022FA</t>
  </si>
  <si>
    <t>인천지역개발채권25-10</t>
  </si>
  <si>
    <t>KR2004022FA8</t>
  </si>
  <si>
    <t>D004022FB</t>
  </si>
  <si>
    <t>인천지역개발채권25-11</t>
  </si>
  <si>
    <t>KR2004022FB6</t>
  </si>
  <si>
    <t>D004022FC</t>
  </si>
  <si>
    <t>인천지역개발채권25-12</t>
  </si>
  <si>
    <t>KR2004022FC4</t>
  </si>
  <si>
    <t>D004022G1</t>
  </si>
  <si>
    <t>인천지역개발채권26-01</t>
  </si>
  <si>
    <t>KR2004022G15</t>
  </si>
  <si>
    <t>D004022G2</t>
  </si>
  <si>
    <t>인천지역개발채권26-02</t>
  </si>
  <si>
    <t>KR2004022G23</t>
  </si>
  <si>
    <t>D004022G4</t>
  </si>
  <si>
    <t>인천지역개발채권26-04</t>
  </si>
  <si>
    <t>KR2004022G49</t>
  </si>
  <si>
    <t>D005012B6</t>
  </si>
  <si>
    <t>광주지역개발채권21-06</t>
  </si>
  <si>
    <t>KR2005012B68</t>
  </si>
  <si>
    <t>D005012B7</t>
  </si>
  <si>
    <t>광주지역개발채권21-07</t>
  </si>
  <si>
    <t>KR2005012B76</t>
  </si>
  <si>
    <t>D005012B8</t>
  </si>
  <si>
    <t>광주지역개발채권21-08</t>
  </si>
  <si>
    <t>KR2005012B84</t>
  </si>
  <si>
    <t>D005012B9</t>
  </si>
  <si>
    <t>광주지역개발채권21-09</t>
  </si>
  <si>
    <t>KR2005012B92</t>
  </si>
  <si>
    <t>D005012BA</t>
  </si>
  <si>
    <t>광주지역개발채권21-10</t>
  </si>
  <si>
    <t>KR2005012BA7</t>
  </si>
  <si>
    <t>D005012BB</t>
  </si>
  <si>
    <t>광주지역개발채권21-11</t>
  </si>
  <si>
    <t>KR2005012BB5</t>
  </si>
  <si>
    <t>D005012C2</t>
  </si>
  <si>
    <t>광주지역개발채권22-02</t>
  </si>
  <si>
    <t>KR2005012C26</t>
  </si>
  <si>
    <t>D005012C3</t>
  </si>
  <si>
    <t>광주지역개발채권22-03</t>
  </si>
  <si>
    <t>KR2005012C34</t>
  </si>
  <si>
    <t>D005012CA</t>
  </si>
  <si>
    <t>광주지역개발채권22-10</t>
  </si>
  <si>
    <t>KR2005012CA5</t>
  </si>
  <si>
    <t>D005012D3</t>
  </si>
  <si>
    <t>광주지역개발채권23-03</t>
  </si>
  <si>
    <t>KR2005012D33</t>
  </si>
  <si>
    <t>D005012D8</t>
  </si>
  <si>
    <t>광주지역개발채권23-08</t>
  </si>
  <si>
    <t>KR2005012D82</t>
  </si>
  <si>
    <t>D005012EC</t>
  </si>
  <si>
    <t>광주지역개발채권24-12</t>
  </si>
  <si>
    <t>KR2005012EC7</t>
  </si>
  <si>
    <t>D005012F1</t>
  </si>
  <si>
    <t>광주지역개발채권25-01</t>
  </si>
  <si>
    <t>KR2005012F15</t>
  </si>
  <si>
    <t>D005012F2</t>
  </si>
  <si>
    <t>광주지역개발채권25-02</t>
  </si>
  <si>
    <t>KR2005012F23</t>
  </si>
  <si>
    <t>D005022BC</t>
  </si>
  <si>
    <t>광주지역개발채권21-12</t>
  </si>
  <si>
    <t>KR2005022BC2</t>
  </si>
  <si>
    <t>D005022C4</t>
  </si>
  <si>
    <t>광주지역개발채권22-04</t>
  </si>
  <si>
    <t>KR2005022C40</t>
  </si>
  <si>
    <t>D005022C5</t>
  </si>
  <si>
    <t>광주지역개발채권22-05</t>
  </si>
  <si>
    <t>KR2005022C57</t>
  </si>
  <si>
    <t>D005022C6</t>
  </si>
  <si>
    <t>광주지역개발채권22-06</t>
  </si>
  <si>
    <t>KR2005022C65</t>
  </si>
  <si>
    <t>D005022C7</t>
  </si>
  <si>
    <t>광주지역개발채권22-07</t>
  </si>
  <si>
    <t>KR2005022C73</t>
  </si>
  <si>
    <t>D005022C8</t>
  </si>
  <si>
    <t>광주지역개발채권22-08</t>
  </si>
  <si>
    <t>KR2005022C81</t>
  </si>
  <si>
    <t>D005022CC</t>
  </si>
  <si>
    <t>광주지역개발채권22-12</t>
  </si>
  <si>
    <t>KR2005022CC0</t>
  </si>
  <si>
    <t>D005022D1</t>
  </si>
  <si>
    <t>광주지역개발채권23-01</t>
  </si>
  <si>
    <t>KR2005022D15</t>
  </si>
  <si>
    <t>D005022D4</t>
  </si>
  <si>
    <t>광주지역개발채권23-04</t>
  </si>
  <si>
    <t>KR2005022D49</t>
  </si>
  <si>
    <t>D005022D5</t>
  </si>
  <si>
    <t>광주지역개발채권23-05</t>
  </si>
  <si>
    <t>KR2005022D56</t>
  </si>
  <si>
    <t>D005022D6</t>
  </si>
  <si>
    <t>광주지역개발채권23-06</t>
  </si>
  <si>
    <t>KR2005022D64</t>
  </si>
  <si>
    <t>D005022D7</t>
  </si>
  <si>
    <t>광주지역개발채권23-07</t>
  </si>
  <si>
    <t>KR2005022D72</t>
  </si>
  <si>
    <t>D005022DA</t>
  </si>
  <si>
    <t>광주지역개발채권23-10</t>
  </si>
  <si>
    <t>KR2005022DA2</t>
  </si>
  <si>
    <t>D005022DB</t>
  </si>
  <si>
    <t>광주지역개발채권23-11</t>
  </si>
  <si>
    <t>KR2005022DB0</t>
  </si>
  <si>
    <t>D005022DC</t>
  </si>
  <si>
    <t>광주지역개발채권23-12</t>
  </si>
  <si>
    <t>KR2005022DC8</t>
  </si>
  <si>
    <t>D005022E3</t>
  </si>
  <si>
    <t>광주지역개발채권24-03</t>
  </si>
  <si>
    <t>KR2005022E30</t>
  </si>
  <si>
    <t>D005022E5</t>
  </si>
  <si>
    <t>광주지역개발채권24-05</t>
  </si>
  <si>
    <t>KR2005022E55</t>
  </si>
  <si>
    <t>D005022EA</t>
  </si>
  <si>
    <t>광주지역개발채권24-10</t>
  </si>
  <si>
    <t>KR2005022EA0</t>
  </si>
  <si>
    <t>D005022F6</t>
  </si>
  <si>
    <t>광주지역개발채권25-06</t>
  </si>
  <si>
    <t>KR2005022F62</t>
  </si>
  <si>
    <t>D005022F7</t>
  </si>
  <si>
    <t>광주지역개발채권25-07</t>
  </si>
  <si>
    <t>KR2005022F70</t>
  </si>
  <si>
    <t>D005022F8</t>
  </si>
  <si>
    <t>광주지역개발채권25-08</t>
  </si>
  <si>
    <t>KR2005022F88</t>
  </si>
  <si>
    <t>D005022F9</t>
  </si>
  <si>
    <t>광주지역개발채권25-09</t>
  </si>
  <si>
    <t>KR2005022F96</t>
  </si>
  <si>
    <t>D005022FA</t>
  </si>
  <si>
    <t>광주지역개발채권25-10</t>
  </si>
  <si>
    <t>KR2005022FA7</t>
  </si>
  <si>
    <t>D005022FB</t>
  </si>
  <si>
    <t>광주지역개발채권25-11</t>
  </si>
  <si>
    <t>KR2005022FB5</t>
  </si>
  <si>
    <t>D005022G1</t>
  </si>
  <si>
    <t>광주지역개발채권26-01</t>
  </si>
  <si>
    <t>KR2005022G12</t>
  </si>
  <si>
    <t>D005022G2</t>
  </si>
  <si>
    <t>광주지역개발채권26-02</t>
  </si>
  <si>
    <t>KR2005022G20</t>
  </si>
  <si>
    <t>D005022G4</t>
  </si>
  <si>
    <t>광주지역개발채권26-04</t>
  </si>
  <si>
    <t>KR2005022G46</t>
  </si>
  <si>
    <t>D005032D2</t>
  </si>
  <si>
    <t>광주지역개발채권23-02</t>
  </si>
  <si>
    <t>KR2005032D21</t>
  </si>
  <si>
    <t>D005032E7</t>
  </si>
  <si>
    <t>광주지역개발채권24-07</t>
  </si>
  <si>
    <t>KR2005032E79</t>
  </si>
  <si>
    <t>D005032EB</t>
  </si>
  <si>
    <t>광주지역개발채권24-11</t>
  </si>
  <si>
    <t>KR2005032EB7</t>
  </si>
  <si>
    <t>D005042E6</t>
  </si>
  <si>
    <t>광주지역개발채권24-06</t>
  </si>
  <si>
    <t>KR2005042E69</t>
  </si>
  <si>
    <t>D005052E8</t>
  </si>
  <si>
    <t>광주지역개발채권24-08</t>
  </si>
  <si>
    <t>KR2005052E82</t>
  </si>
  <si>
    <t>D006012B4</t>
  </si>
  <si>
    <t>부산지역개발채권21-04</t>
  </si>
  <si>
    <t>KR2006012B41</t>
  </si>
  <si>
    <t>D006012B5</t>
  </si>
  <si>
    <t>부산지역개발채권21-05</t>
  </si>
  <si>
    <t>KR2006012B58</t>
  </si>
  <si>
    <t>D006012B6</t>
  </si>
  <si>
    <t>부산지역개발채권21-06</t>
  </si>
  <si>
    <t>KR2006012B66</t>
  </si>
  <si>
    <t>D006012B7</t>
  </si>
  <si>
    <t>부산지역개발채권21-07</t>
  </si>
  <si>
    <t>KR2006012B74</t>
  </si>
  <si>
    <t>D006012B8</t>
  </si>
  <si>
    <t>부산지역개발채권21-08</t>
  </si>
  <si>
    <t>KR2006012B82</t>
  </si>
  <si>
    <t>D006012B9</t>
  </si>
  <si>
    <t>부산지역개발채권21-09</t>
  </si>
  <si>
    <t>KR2006012B90</t>
  </si>
  <si>
    <t>D006012D5</t>
  </si>
  <si>
    <t>부산지역개발채권23-05</t>
  </si>
  <si>
    <t>KR2006012D56</t>
  </si>
  <si>
    <t>D006012D7</t>
  </si>
  <si>
    <t>부산지역개발채권23-07</t>
  </si>
  <si>
    <t>KR2006012D72</t>
  </si>
  <si>
    <t>D006012DC</t>
  </si>
  <si>
    <t>부산지역개발채권23-12</t>
  </si>
  <si>
    <t>KR2006012DC8</t>
  </si>
  <si>
    <t>D006012E8</t>
  </si>
  <si>
    <t>부산지역개발채권24-08</t>
  </si>
  <si>
    <t>KR2006012E89</t>
  </si>
  <si>
    <t>D006012EB</t>
  </si>
  <si>
    <t>부산지역개발채권24-11</t>
  </si>
  <si>
    <t>KR2006012EB8</t>
  </si>
  <si>
    <t>D006012EC</t>
  </si>
  <si>
    <t>부산지역개발채권24-12</t>
  </si>
  <si>
    <t>KR2006012EC6</t>
  </si>
  <si>
    <t>D006012F1</t>
  </si>
  <si>
    <t>부산지역개발채권25-01</t>
  </si>
  <si>
    <t>KR2006012F13</t>
  </si>
  <si>
    <t>D006014B7</t>
  </si>
  <si>
    <t>부산도시철도공채증권21-07</t>
  </si>
  <si>
    <t>KR2006014B72</t>
  </si>
  <si>
    <t>D006014C4</t>
  </si>
  <si>
    <t>부산도시철도공채증권22-04</t>
  </si>
  <si>
    <t>KR2006014C48</t>
  </si>
  <si>
    <t>D006014C7</t>
  </si>
  <si>
    <t>부산도시철도공채증권22-07</t>
  </si>
  <si>
    <t>KR2006014C71</t>
  </si>
  <si>
    <t>D006014DA</t>
  </si>
  <si>
    <t>부산도시철도공채증권23-10</t>
  </si>
  <si>
    <t>KR2006014DA8</t>
  </si>
  <si>
    <t>D006014F1</t>
  </si>
  <si>
    <t>부산도시철도공채증권25-01</t>
  </si>
  <si>
    <t>KR2006014F11</t>
  </si>
  <si>
    <t>D006014F2</t>
  </si>
  <si>
    <t>부산도시철도공채증권25-02</t>
  </si>
  <si>
    <t>KR2006014F29</t>
  </si>
  <si>
    <t>D006014F5</t>
  </si>
  <si>
    <t>부산도시철도공채증권25-05</t>
  </si>
  <si>
    <t>KR2006014F52</t>
  </si>
  <si>
    <t>D006014F6</t>
  </si>
  <si>
    <t>부산도시철도공채증권25-06</t>
  </si>
  <si>
    <t>KR2006014F60</t>
  </si>
  <si>
    <t>D006014F7</t>
  </si>
  <si>
    <t>부산도시철도공채증권25-07</t>
  </si>
  <si>
    <t>KR2006014F78</t>
  </si>
  <si>
    <t>D006014F8</t>
  </si>
  <si>
    <t>부산도시철도공채증권25-08</t>
  </si>
  <si>
    <t>KR2006014F86</t>
  </si>
  <si>
    <t>D006014F9</t>
  </si>
  <si>
    <t>부산도시철도공채증권25-09</t>
  </si>
  <si>
    <t>KR2006014F94</t>
  </si>
  <si>
    <t>D006014FA</t>
  </si>
  <si>
    <t>부산도시철도공채증권25-10</t>
  </si>
  <si>
    <t>KR2006014FA3</t>
  </si>
  <si>
    <t>D006014FB</t>
  </si>
  <si>
    <t>부산도시철도공채증권25-11</t>
  </si>
  <si>
    <t>KR2006014FB1</t>
  </si>
  <si>
    <t>D006014FC</t>
  </si>
  <si>
    <t>부산도시철도공채증권25-12</t>
  </si>
  <si>
    <t>KR2006014FC9</t>
  </si>
  <si>
    <t>D006014G1</t>
  </si>
  <si>
    <t>부산도시철도공채증권26-01</t>
  </si>
  <si>
    <t>KR2006014G10</t>
  </si>
  <si>
    <t>D006014G2</t>
  </si>
  <si>
    <t>부산도시철도공채증권26-02</t>
  </si>
  <si>
    <t>KR2006014G28</t>
  </si>
  <si>
    <t>D006014G3</t>
  </si>
  <si>
    <t>부산도시철도공채증권26-03</t>
  </si>
  <si>
    <t>KR2006014G36</t>
  </si>
  <si>
    <t>D006014G4</t>
  </si>
  <si>
    <t>부산도시철도공채증권26-04</t>
  </si>
  <si>
    <t>KR2006014G44</t>
  </si>
  <si>
    <t>D006022BA</t>
  </si>
  <si>
    <t>부산지역개발채권21-10</t>
  </si>
  <si>
    <t>KR2006022BA5</t>
  </si>
  <si>
    <t>D006022BB</t>
  </si>
  <si>
    <t>부산지역개발채권21-11</t>
  </si>
  <si>
    <t>KR2006022BB3</t>
  </si>
  <si>
    <t>D006022BC</t>
  </si>
  <si>
    <t>부산지역개발채권21-12</t>
  </si>
  <si>
    <t>KR2006022BC1</t>
  </si>
  <si>
    <t>D006022C1</t>
  </si>
  <si>
    <t>부산지역개발채권22-01</t>
  </si>
  <si>
    <t>KR2006022C14</t>
  </si>
  <si>
    <t>D006022C4</t>
  </si>
  <si>
    <t>부산지역개발채권22-04</t>
  </si>
  <si>
    <t>KR2006022C48</t>
  </si>
  <si>
    <t>D006022C5</t>
  </si>
  <si>
    <t>부산지역개발채권22-05</t>
  </si>
  <si>
    <t>KR2006022C55</t>
  </si>
  <si>
    <t>D006022C6</t>
  </si>
  <si>
    <t>부산지역개발채권22-06</t>
  </si>
  <si>
    <t>KR2006022C63</t>
  </si>
  <si>
    <t>D006022C7</t>
  </si>
  <si>
    <t>부산지역개발채권22-07</t>
  </si>
  <si>
    <t>KR2006022C71</t>
  </si>
  <si>
    <t>D006022C8</t>
  </si>
  <si>
    <t>부산지역개발채권22-08</t>
  </si>
  <si>
    <t>KR2006022C89</t>
  </si>
  <si>
    <t>D006022C9</t>
  </si>
  <si>
    <t>부산지역개발채권22-09</t>
  </si>
  <si>
    <t>KR2006022C97</t>
  </si>
  <si>
    <t>D006022CA</t>
  </si>
  <si>
    <t>부산지역개발채권22-10</t>
  </si>
  <si>
    <t>KR2006022CA3</t>
  </si>
  <si>
    <t>D006022D1</t>
  </si>
  <si>
    <t>부산지역개발채권23-01</t>
  </si>
  <si>
    <t>KR2006022D13</t>
  </si>
  <si>
    <t>D006022D2</t>
  </si>
  <si>
    <t>부산지역개발채권23-02</t>
  </si>
  <si>
    <t>KR2006022D21</t>
  </si>
  <si>
    <t>D006022D3</t>
  </si>
  <si>
    <t>부산지역개발채권23-03</t>
  </si>
  <si>
    <t>KR2006022D39</t>
  </si>
  <si>
    <t>D006022D4</t>
  </si>
  <si>
    <t>부산지역개발채권23-04</t>
  </si>
  <si>
    <t>KR2006022D47</t>
  </si>
  <si>
    <t>D006022D8</t>
  </si>
  <si>
    <t>부산지역개발채권23-08</t>
  </si>
  <si>
    <t>KR2006022D88</t>
  </si>
  <si>
    <t>D006022D9</t>
  </si>
  <si>
    <t>부산지역개발채권23-09</t>
  </si>
  <si>
    <t>KR2006022D96</t>
  </si>
  <si>
    <t>D006022DA</t>
  </si>
  <si>
    <t>부산지역개발채권23-10</t>
  </si>
  <si>
    <t>KR2006022DA1</t>
  </si>
  <si>
    <t>D006022E1</t>
  </si>
  <si>
    <t>부산지역개발채권24-01</t>
  </si>
  <si>
    <t>KR2006022E12</t>
  </si>
  <si>
    <t>D006022E3</t>
  </si>
  <si>
    <t>부산지역개발채권24-03</t>
  </si>
  <si>
    <t>KR2006022E38</t>
  </si>
  <si>
    <t>D006022E4</t>
  </si>
  <si>
    <t>부산지역개발채권24-04</t>
  </si>
  <si>
    <t>KR2006022E46</t>
  </si>
  <si>
    <t>D006022E5</t>
  </si>
  <si>
    <t>부산지역개발채권24-05</t>
  </si>
  <si>
    <t>KR2006022E53</t>
  </si>
  <si>
    <t>D006022E6</t>
  </si>
  <si>
    <t>부산지역개발채권24-06</t>
  </si>
  <si>
    <t>KR2006022E61</t>
  </si>
  <si>
    <t>D006022E7</t>
  </si>
  <si>
    <t>부산지역개발채권24-07</t>
  </si>
  <si>
    <t>KR2006022E79</t>
  </si>
  <si>
    <t>D006022E9</t>
  </si>
  <si>
    <t>부산지역개발채권24-09</t>
  </si>
  <si>
    <t>KR2006022E95</t>
  </si>
  <si>
    <t>D006022EA</t>
  </si>
  <si>
    <t>부산지역개발채권24-10</t>
  </si>
  <si>
    <t>KR2006022EA9</t>
  </si>
  <si>
    <t>D006022F2</t>
  </si>
  <si>
    <t>부산지역개발채권25-02</t>
  </si>
  <si>
    <t>KR2006022F29</t>
  </si>
  <si>
    <t>D006022F3</t>
  </si>
  <si>
    <t>부산지역개발채권25-03</t>
  </si>
  <si>
    <t>KR2006022F37</t>
  </si>
  <si>
    <t>D006022F5</t>
  </si>
  <si>
    <t>부산지역개발채권25-05</t>
  </si>
  <si>
    <t>KR2006022F52</t>
  </si>
  <si>
    <t>D006022F6</t>
  </si>
  <si>
    <t>부산지역개발채권25-06</t>
  </si>
  <si>
    <t>KR2006022F60</t>
  </si>
  <si>
    <t>D006022F7</t>
  </si>
  <si>
    <t>부산지역개발채권25-07</t>
  </si>
  <si>
    <t>KR2006022F78</t>
  </si>
  <si>
    <t>D006022F9</t>
  </si>
  <si>
    <t>부산지역개발채권25-09</t>
  </si>
  <si>
    <t>KR2006022F94</t>
  </si>
  <si>
    <t>D006022FA</t>
  </si>
  <si>
    <t>부산지역개발채권25-10</t>
  </si>
  <si>
    <t>KR2006022FA6</t>
  </si>
  <si>
    <t>D006022FB</t>
  </si>
  <si>
    <t>부산지역개발채권25-11</t>
  </si>
  <si>
    <t>KR2006022FB4</t>
  </si>
  <si>
    <t>D006022FC</t>
  </si>
  <si>
    <t>부산지역개발채권25-12</t>
  </si>
  <si>
    <t>KR2006022FC2</t>
  </si>
  <si>
    <t>D006022G1</t>
  </si>
  <si>
    <t>부산지역개발채권26-01</t>
  </si>
  <si>
    <t>KR2006022G10</t>
  </si>
  <si>
    <t>D006022G2</t>
  </si>
  <si>
    <t>부산지역개발채권26-02</t>
  </si>
  <si>
    <t>KR2006022G28</t>
  </si>
  <si>
    <t>D006022G4</t>
  </si>
  <si>
    <t>부산지역개발채권26-04</t>
  </si>
  <si>
    <t>KR2006022G44</t>
  </si>
  <si>
    <t>D006024C1</t>
  </si>
  <si>
    <t>부산도시철도공채증권22-01</t>
  </si>
  <si>
    <t>KR2006024C12</t>
  </si>
  <si>
    <t>D006024C2</t>
  </si>
  <si>
    <t>부산도시철도공채증권22-02</t>
  </si>
  <si>
    <t>KR2006024C20</t>
  </si>
  <si>
    <t>D006024C6</t>
  </si>
  <si>
    <t>부산도시철도공채증권22-06</t>
  </si>
  <si>
    <t>KR2006024C61</t>
  </si>
  <si>
    <t>D006024CA</t>
  </si>
  <si>
    <t>부산도시철도공채증권22-10</t>
  </si>
  <si>
    <t>KR2006024CA9</t>
  </si>
  <si>
    <t>D006024D1</t>
  </si>
  <si>
    <t>부산도시철도공채증권23-01</t>
  </si>
  <si>
    <t>KR2006024D11</t>
  </si>
  <si>
    <t>D006024D2</t>
  </si>
  <si>
    <t>부산도시철도공채증권23-02</t>
  </si>
  <si>
    <t>KR2006024D29</t>
  </si>
  <si>
    <t>D006024E6</t>
  </si>
  <si>
    <t>부산도시철도공채증권24-06</t>
  </si>
  <si>
    <t>KR2006024E69</t>
  </si>
  <si>
    <t>D006024E9</t>
  </si>
  <si>
    <t>부산도시철도공채증권24-09</t>
  </si>
  <si>
    <t>KR2006024E93</t>
  </si>
  <si>
    <t>D006024EB</t>
  </si>
  <si>
    <t>부산도시철도공채증권24-11</t>
  </si>
  <si>
    <t>KR2006024EB3</t>
  </si>
  <si>
    <t>D006024EC</t>
  </si>
  <si>
    <t>부산도시철도공채증권24-12</t>
  </si>
  <si>
    <t>KR2006024EC1</t>
  </si>
  <si>
    <t>D006034E5</t>
  </si>
  <si>
    <t>부산도시철도공채증권24-05</t>
  </si>
  <si>
    <t>KR2006034E59</t>
  </si>
  <si>
    <t>D007012B6</t>
  </si>
  <si>
    <t>대구지역개발채권21-06</t>
  </si>
  <si>
    <t>KR2007012B64</t>
  </si>
  <si>
    <t>D007012B8</t>
  </si>
  <si>
    <t>대구지역개발채권21-08</t>
  </si>
  <si>
    <t>KR2007012B80</t>
  </si>
  <si>
    <t>D007012C1</t>
  </si>
  <si>
    <t>대구지역개발채권22-01</t>
  </si>
  <si>
    <t>KR2007012C14</t>
  </si>
  <si>
    <t>D007012C4</t>
  </si>
  <si>
    <t>대구지역개발채권22-04</t>
  </si>
  <si>
    <t>KR2007012C48</t>
  </si>
  <si>
    <t>D007012C5</t>
  </si>
  <si>
    <t>대구지역개발채권22-05</t>
  </si>
  <si>
    <t>KR2007012C55</t>
  </si>
  <si>
    <t>D007012C6</t>
  </si>
  <si>
    <t>대구지역개발채권22-06</t>
  </si>
  <si>
    <t>KR2007012C63</t>
  </si>
  <si>
    <t>D007012C7</t>
  </si>
  <si>
    <t>대구지역개발채권22-07</t>
  </si>
  <si>
    <t>KR2007012C71</t>
  </si>
  <si>
    <t>D007012C8</t>
  </si>
  <si>
    <t>대구지역개발채권22-08</t>
  </si>
  <si>
    <t>KR2007012C89</t>
  </si>
  <si>
    <t>D007012CA</t>
  </si>
  <si>
    <t>대구지역개발채권22-10</t>
  </si>
  <si>
    <t>KR2007012CA3</t>
  </si>
  <si>
    <t>D007012D1</t>
  </si>
  <si>
    <t>대구지역개발채권23-01</t>
  </si>
  <si>
    <t>KR2007012D13</t>
  </si>
  <si>
    <t>D007012D6</t>
  </si>
  <si>
    <t>대구지역개발채권23-06</t>
  </si>
  <si>
    <t>KR2007012D62</t>
  </si>
  <si>
    <t>D007012D7</t>
  </si>
  <si>
    <t>대구지역개발채권23-07</t>
  </si>
  <si>
    <t>KR2007012D70</t>
  </si>
  <si>
    <t>D007012DA</t>
  </si>
  <si>
    <t>대구지역개발채권23-10</t>
  </si>
  <si>
    <t>KR2007012DA1</t>
  </si>
  <si>
    <t>D007012DB</t>
  </si>
  <si>
    <t>대구지역개발채권23-11</t>
  </si>
  <si>
    <t>KR2007012DB9</t>
  </si>
  <si>
    <t>D007012DC</t>
  </si>
  <si>
    <t>대구지역개발채권23-12</t>
  </si>
  <si>
    <t>KR2007012DC7</t>
  </si>
  <si>
    <t>D007012EC</t>
  </si>
  <si>
    <t>대구지역개발채권24-12</t>
  </si>
  <si>
    <t>KR2007012EC5</t>
  </si>
  <si>
    <t>D007014B6</t>
  </si>
  <si>
    <t>대구도시철도공채증권21-06</t>
  </si>
  <si>
    <t>KR2007014B62</t>
  </si>
  <si>
    <t>D007014B7</t>
  </si>
  <si>
    <t>대구도시철도공채증권21-07</t>
  </si>
  <si>
    <t>KR2007014B70</t>
  </si>
  <si>
    <t>D007014B8</t>
  </si>
  <si>
    <t>대구도시철도공채증권21-08</t>
  </si>
  <si>
    <t>KR2007014B88</t>
  </si>
  <si>
    <t>D007022BA</t>
  </si>
  <si>
    <t>대구지역개발채권21-10</t>
  </si>
  <si>
    <t>KR2007022BA4</t>
  </si>
  <si>
    <t>D007022BB</t>
  </si>
  <si>
    <t>대구지역개발채권21-11</t>
  </si>
  <si>
    <t>KR2007022BB2</t>
  </si>
  <si>
    <t>D007022BC</t>
  </si>
  <si>
    <t>대구지역개발채권21-12</t>
  </si>
  <si>
    <t>KR2007022BC0</t>
  </si>
  <si>
    <t>D007022D4</t>
  </si>
  <si>
    <t>대구지역개발채권23-04</t>
  </si>
  <si>
    <t>KR2007022D45</t>
  </si>
  <si>
    <t>D007022D8</t>
  </si>
  <si>
    <t>대구지역개발채권23-08</t>
  </si>
  <si>
    <t>KR2007022D86</t>
  </si>
  <si>
    <t>D007022D9</t>
  </si>
  <si>
    <t>대구지역개발채권23-09</t>
  </si>
  <si>
    <t>KR2007022D94</t>
  </si>
  <si>
    <t>D007022E3</t>
  </si>
  <si>
    <t>대구지역개발채권24-03</t>
  </si>
  <si>
    <t>KR2007022E36</t>
  </si>
  <si>
    <t>D007022E6</t>
  </si>
  <si>
    <t>대구지역개발채권24-06</t>
  </si>
  <si>
    <t>KR2007022E69</t>
  </si>
  <si>
    <t>D007022E7</t>
  </si>
  <si>
    <t>대구지역개발채권24-07</t>
  </si>
  <si>
    <t>KR2007022E77</t>
  </si>
  <si>
    <t>D007022E8</t>
  </si>
  <si>
    <t>대구지역개발채권24-08</t>
  </si>
  <si>
    <t>KR2007022E85</t>
  </si>
  <si>
    <t>D007022EA</t>
  </si>
  <si>
    <t>대구지역개발채권24-10</t>
  </si>
  <si>
    <t>KR2007022EA8</t>
  </si>
  <si>
    <t>D007022EB</t>
  </si>
  <si>
    <t>대구지역개발채권24-11</t>
  </si>
  <si>
    <t>KR2007022EB6</t>
  </si>
  <si>
    <t>D007022F1</t>
  </si>
  <si>
    <t>대구지역개발채권25-01</t>
  </si>
  <si>
    <t>KR2007022F19</t>
  </si>
  <si>
    <t>D007022F2</t>
  </si>
  <si>
    <t>대구지역개발채권25-02</t>
  </si>
  <si>
    <t>KR2007022F27</t>
  </si>
  <si>
    <t>D007022F3</t>
  </si>
  <si>
    <t>대구지역개발채권25-03</t>
  </si>
  <si>
    <t>KR2007022F35</t>
  </si>
  <si>
    <t>D007022FB</t>
  </si>
  <si>
    <t>대구지역개발채권25-11</t>
  </si>
  <si>
    <t>KR2007022FB3</t>
  </si>
  <si>
    <t>D007022G1</t>
  </si>
  <si>
    <t>대구지역개발채권26-01</t>
  </si>
  <si>
    <t>KR2007022G18</t>
  </si>
  <si>
    <t>D007022G2</t>
  </si>
  <si>
    <t>대구지역개발채권26-02</t>
  </si>
  <si>
    <t>KR2007022G26</t>
  </si>
  <si>
    <t>D007022G4</t>
  </si>
  <si>
    <t>대구지역개발채권26-04</t>
  </si>
  <si>
    <t>KR2007022G42</t>
  </si>
  <si>
    <t>D007024BA</t>
  </si>
  <si>
    <t>대구도시철도공채증권21-10</t>
  </si>
  <si>
    <t>KR2007024BA0</t>
  </si>
  <si>
    <t>D007024BB</t>
  </si>
  <si>
    <t>대구도시철도공채증권21-11</t>
  </si>
  <si>
    <t>KR2007024BB8</t>
  </si>
  <si>
    <t>D007024C2</t>
  </si>
  <si>
    <t>대구도시철도공채증권22-02</t>
  </si>
  <si>
    <t>KR2007024C28</t>
  </si>
  <si>
    <t>D007024C4</t>
  </si>
  <si>
    <t>대구도시철도공채증권22-04</t>
  </si>
  <si>
    <t>KR2007024C44</t>
  </si>
  <si>
    <t>D007024C7</t>
  </si>
  <si>
    <t>대구도시철도공채증권22-07</t>
  </si>
  <si>
    <t>KR2007024C77</t>
  </si>
  <si>
    <t>D007024C8</t>
  </si>
  <si>
    <t>대구도시철도공채증권22-08</t>
  </si>
  <si>
    <t>KR2007024C85</t>
  </si>
  <si>
    <t>D007024CA</t>
  </si>
  <si>
    <t>대구도시철도공채증권22-10</t>
  </si>
  <si>
    <t>KR2007024CA8</t>
  </si>
  <si>
    <t>D007024CB</t>
  </si>
  <si>
    <t>대구도시철도공채증권22-11</t>
  </si>
  <si>
    <t>KR2007024CB6</t>
  </si>
  <si>
    <t>D007024CC</t>
  </si>
  <si>
    <t>대구도시철도공채증권22-12</t>
  </si>
  <si>
    <t>KR2007024CC4</t>
  </si>
  <si>
    <t>D007024D1</t>
  </si>
  <si>
    <t>대구도시철도공채증권23-01</t>
  </si>
  <si>
    <t>KR2007024D19</t>
  </si>
  <si>
    <t>D007024D3</t>
  </si>
  <si>
    <t>대구도시철도공채증권23-03</t>
  </si>
  <si>
    <t>KR2007024D35</t>
  </si>
  <si>
    <t>D007024D7</t>
  </si>
  <si>
    <t>대구도시철도공채증권23-07</t>
  </si>
  <si>
    <t>KR2007024D76</t>
  </si>
  <si>
    <t>D007024D9</t>
  </si>
  <si>
    <t>대구도시철도공채증권23-09</t>
  </si>
  <si>
    <t>KR2007024D92</t>
  </si>
  <si>
    <t>D007024DA</t>
  </si>
  <si>
    <t>대구도시철도공채증권23-10</t>
  </si>
  <si>
    <t>KR2007024DA6</t>
  </si>
  <si>
    <t>D007024DC</t>
  </si>
  <si>
    <t>대구도시철도공채증권23-12</t>
  </si>
  <si>
    <t>KR2007024DC2</t>
  </si>
  <si>
    <t>D007024E2</t>
  </si>
  <si>
    <t>대구도시철도공채증권24-02</t>
  </si>
  <si>
    <t>KR2007024E26</t>
  </si>
  <si>
    <t>D007024E3</t>
  </si>
  <si>
    <t>대구도시철도공채증권24-03</t>
  </si>
  <si>
    <t>KR2007024E34</t>
  </si>
  <si>
    <t>D007024E5</t>
  </si>
  <si>
    <t>대구도시철도공채증권24-05</t>
  </si>
  <si>
    <t>KR2007024E59</t>
  </si>
  <si>
    <t>D007024E6</t>
  </si>
  <si>
    <t>대구도시철도공채증권24-06</t>
  </si>
  <si>
    <t>KR2007024E67</t>
  </si>
  <si>
    <t>D007024E7</t>
  </si>
  <si>
    <t>대구도시철도공채증권24-07</t>
  </si>
  <si>
    <t>KR2007024E75</t>
  </si>
  <si>
    <t>D007024E8</t>
  </si>
  <si>
    <t>대구도시철도공채증권24-08</t>
  </si>
  <si>
    <t>KR2007024E83</t>
  </si>
  <si>
    <t>D007024EA</t>
  </si>
  <si>
    <t>대구도시철도공채증권24-10</t>
  </si>
  <si>
    <t>KR2007024EA4</t>
  </si>
  <si>
    <t>D007024EB</t>
  </si>
  <si>
    <t>대구도시철도공채증권24-11</t>
  </si>
  <si>
    <t>KR2007024EB2</t>
  </si>
  <si>
    <t>D007024EC</t>
  </si>
  <si>
    <t>대구도시철도공채증권24-12</t>
  </si>
  <si>
    <t>KR2007024EC0</t>
  </si>
  <si>
    <t>D007024F1</t>
  </si>
  <si>
    <t>대구도시철도공채증권25-01</t>
  </si>
  <si>
    <t>KR2007024F17</t>
  </si>
  <si>
    <t>D007024F2</t>
  </si>
  <si>
    <t>대구도시철도공채증권25-02</t>
  </si>
  <si>
    <t>KR2007024F25</t>
  </si>
  <si>
    <t>D007024F3</t>
  </si>
  <si>
    <t>대구도시철도공채증권25-03</t>
  </si>
  <si>
    <t>KR2007024F33</t>
  </si>
  <si>
    <t>D007024F5</t>
  </si>
  <si>
    <t>대구도시철도공채증권25-05</t>
  </si>
  <si>
    <t>KR2007024F58</t>
  </si>
  <si>
    <t>D007024F6</t>
  </si>
  <si>
    <t>대구도시철도공채증권25-06</t>
  </si>
  <si>
    <t>KR2007024F66</t>
  </si>
  <si>
    <t>D007024F7</t>
  </si>
  <si>
    <t>대구도시철도공채증권25-07</t>
  </si>
  <si>
    <t>KR2007024F74</t>
  </si>
  <si>
    <t>D007024F8</t>
  </si>
  <si>
    <t>대구도시철도공채증권25-08</t>
  </si>
  <si>
    <t>KR2007024F82</t>
  </si>
  <si>
    <t>D007024FA</t>
  </si>
  <si>
    <t>대구도시철도공채증권25-10</t>
  </si>
  <si>
    <t>KR2007024FA1</t>
  </si>
  <si>
    <t>D007024FB</t>
  </si>
  <si>
    <t>대구도시철도공채증권25-11</t>
  </si>
  <si>
    <t>KR2007024FB9</t>
  </si>
  <si>
    <t>D007024FC</t>
  </si>
  <si>
    <t>대구도시철도공채증권25-12</t>
  </si>
  <si>
    <t>KR2007024FC7</t>
  </si>
  <si>
    <t>D007024G1</t>
  </si>
  <si>
    <t>대구도시철도공채증권26-01</t>
  </si>
  <si>
    <t>KR2007024G16</t>
  </si>
  <si>
    <t>D007024G2</t>
  </si>
  <si>
    <t>대구도시철도공채증권26-02</t>
  </si>
  <si>
    <t>KR2007024G24</t>
  </si>
  <si>
    <t>D007024G3</t>
  </si>
  <si>
    <t>대구도시철도공채증권26-03</t>
  </si>
  <si>
    <t>KR2007024G32</t>
  </si>
  <si>
    <t>D007024G4</t>
  </si>
  <si>
    <t>대구도시철도공채증권26-04</t>
  </si>
  <si>
    <t>KR2007024G40</t>
  </si>
  <si>
    <t>D007032F6</t>
  </si>
  <si>
    <t>대구지역개발채권25-06</t>
  </si>
  <si>
    <t>KR2007032F66</t>
  </si>
  <si>
    <t>D007032F7</t>
  </si>
  <si>
    <t>대구지역개발채권25-07</t>
  </si>
  <si>
    <t>KR2007032F74</t>
  </si>
  <si>
    <t>D007032FA</t>
  </si>
  <si>
    <t>대구지역개발채권25-10</t>
  </si>
  <si>
    <t>KR2007032FA4</t>
  </si>
  <si>
    <t>D007032FC</t>
  </si>
  <si>
    <t>대구지역개발채권25-12</t>
  </si>
  <si>
    <t>KR2007032FC0</t>
  </si>
  <si>
    <t>D007042F5</t>
  </si>
  <si>
    <t>대구지역개발채권25-05</t>
  </si>
  <si>
    <t>KR2007042F56</t>
  </si>
  <si>
    <t>D007052F9</t>
  </si>
  <si>
    <t>대구지역개발채권25-09</t>
  </si>
  <si>
    <t>KR2007052F95</t>
  </si>
  <si>
    <t>D008012B5</t>
  </si>
  <si>
    <t>울산지역개발채권21-05</t>
  </si>
  <si>
    <t>KR2008012B54</t>
  </si>
  <si>
    <t>D008012B9</t>
  </si>
  <si>
    <t>울산지역개발채권21-09</t>
  </si>
  <si>
    <t>KR2008012B96</t>
  </si>
  <si>
    <t>D008012BA</t>
  </si>
  <si>
    <t>울산지역개발채권21-10</t>
  </si>
  <si>
    <t>KR2008012BA4</t>
  </si>
  <si>
    <t>D008012BC</t>
  </si>
  <si>
    <t>울산지역개발채권21-12</t>
  </si>
  <si>
    <t>KR2008012BC0</t>
  </si>
  <si>
    <t>D008012C1</t>
  </si>
  <si>
    <t>울산지역개발채권22-01</t>
  </si>
  <si>
    <t>KR2008012C12</t>
  </si>
  <si>
    <t>D008012C4</t>
  </si>
  <si>
    <t>울산지역개발채권22-04</t>
  </si>
  <si>
    <t>KR2008012C46</t>
  </si>
  <si>
    <t>D008012C6</t>
  </si>
  <si>
    <t>울산지역개발채권22-06</t>
  </si>
  <si>
    <t>KR2008012C61</t>
  </si>
  <si>
    <t>D008012C7</t>
  </si>
  <si>
    <t>울산지역개발채권22-07</t>
  </si>
  <si>
    <t>KR2008012C79</t>
  </si>
  <si>
    <t>D008012C8</t>
  </si>
  <si>
    <t>울산지역개발채권22-08</t>
  </si>
  <si>
    <t>KR2008012C87</t>
  </si>
  <si>
    <t>D008012CA</t>
  </si>
  <si>
    <t>울산지역개발채권22-10</t>
  </si>
  <si>
    <t>KR2008012CA2</t>
  </si>
  <si>
    <t>D008012CB</t>
  </si>
  <si>
    <t>울산지역개발채권22-11</t>
  </si>
  <si>
    <t>KR2008012CB0</t>
  </si>
  <si>
    <t>D008012D5</t>
  </si>
  <si>
    <t>울산지역개발채권23-05</t>
  </si>
  <si>
    <t>KR2008012D52</t>
  </si>
  <si>
    <t>D008012D6</t>
  </si>
  <si>
    <t>울산지역개발채권23-06</t>
  </si>
  <si>
    <t>KR2008012D60</t>
  </si>
  <si>
    <t>D008012D8</t>
  </si>
  <si>
    <t>울산지역개발채권23-08</t>
  </si>
  <si>
    <t>KR2008012D86</t>
  </si>
  <si>
    <t>D008012D9</t>
  </si>
  <si>
    <t>울산지역개발채권23-09</t>
  </si>
  <si>
    <t>KR2008012D94</t>
  </si>
  <si>
    <t>D008012DA</t>
  </si>
  <si>
    <t>울산지역개발채권23-10</t>
  </si>
  <si>
    <t>KR2008012DA0</t>
  </si>
  <si>
    <t>D008012DB</t>
  </si>
  <si>
    <t>울산지역개발채권23-11</t>
  </si>
  <si>
    <t>KR2008012DB8</t>
  </si>
  <si>
    <t>D008012DC</t>
  </si>
  <si>
    <t>울산지역개발채권23-12</t>
  </si>
  <si>
    <t>KR2008012DC6</t>
  </si>
  <si>
    <t>D008012E3</t>
  </si>
  <si>
    <t>울산지역개발채권24-03</t>
  </si>
  <si>
    <t>KR2008012E36</t>
  </si>
  <si>
    <t>D008012E5</t>
  </si>
  <si>
    <t>울산지역개발채권24-05</t>
  </si>
  <si>
    <t>KR2008012E51</t>
  </si>
  <si>
    <t>D008012E6</t>
  </si>
  <si>
    <t>울산지역개발채권24-06</t>
  </si>
  <si>
    <t>KR2008012E69</t>
  </si>
  <si>
    <t>D008012E7</t>
  </si>
  <si>
    <t>울산지역개발채권24-07</t>
  </si>
  <si>
    <t>KR2008012E77</t>
  </si>
  <si>
    <t>D008012E8</t>
  </si>
  <si>
    <t>울산지역개발채권24-08</t>
  </si>
  <si>
    <t>KR2008012E85</t>
  </si>
  <si>
    <t>D008012E9</t>
  </si>
  <si>
    <t>울산지역개발채권24-09</t>
  </si>
  <si>
    <t>KR2008012E93</t>
  </si>
  <si>
    <t>D008012EA</t>
  </si>
  <si>
    <t>울산지역개발채권24-10</t>
  </si>
  <si>
    <t>KR2008012EA8</t>
  </si>
  <si>
    <t>D008012EB</t>
  </si>
  <si>
    <t>울산지역개발채권24-11</t>
  </si>
  <si>
    <t>KR2008012EB6</t>
  </si>
  <si>
    <t>D008012EC</t>
  </si>
  <si>
    <t>울산지역개발채권24-12</t>
  </si>
  <si>
    <t>KR2008012EC4</t>
  </si>
  <si>
    <t>D008012F1</t>
  </si>
  <si>
    <t>울산지역개발채권25-01</t>
  </si>
  <si>
    <t>KR2008012F19</t>
  </si>
  <si>
    <t>D008012F2</t>
  </si>
  <si>
    <t>울산지역개발채권25-02</t>
  </si>
  <si>
    <t>KR2008012F27</t>
  </si>
  <si>
    <t>D008012F3</t>
  </si>
  <si>
    <t>울산지역개발채권25-03</t>
  </si>
  <si>
    <t>KR2008012F35</t>
  </si>
  <si>
    <t>D008012F4</t>
  </si>
  <si>
    <t>울산지역개발채권25-04</t>
  </si>
  <si>
    <t>KR2008012F43</t>
  </si>
  <si>
    <t>D008012F5</t>
  </si>
  <si>
    <t>울산지역개발채권25-05</t>
  </si>
  <si>
    <t>KR2008012F50</t>
  </si>
  <si>
    <t>D008012F6</t>
  </si>
  <si>
    <t>울산지역개발채권25-06</t>
  </si>
  <si>
    <t>KR2008012F68</t>
  </si>
  <si>
    <t>D008012F7</t>
  </si>
  <si>
    <t>울산지역개발채권25-07</t>
  </si>
  <si>
    <t>KR2008012F76</t>
  </si>
  <si>
    <t>D008012F8</t>
  </si>
  <si>
    <t>울산지역개발채권25-08</t>
  </si>
  <si>
    <t>KR2008012F84</t>
  </si>
  <si>
    <t>D008012FA</t>
  </si>
  <si>
    <t>울산지역개발채권25-10</t>
  </si>
  <si>
    <t>KR2008012FA5</t>
  </si>
  <si>
    <t>D008012FB</t>
  </si>
  <si>
    <t>울산지역개발채권25-11</t>
  </si>
  <si>
    <t>KR2008012FB3</t>
  </si>
  <si>
    <t>D008012FC</t>
  </si>
  <si>
    <t>울산지역개발채권25-12</t>
  </si>
  <si>
    <t>KR2008012FC1</t>
  </si>
  <si>
    <t>D008012G1</t>
  </si>
  <si>
    <t>울산지역개발채권26-01</t>
  </si>
  <si>
    <t>KR2008012G18</t>
  </si>
  <si>
    <t>D008012G2</t>
  </si>
  <si>
    <t>울산지역개발채권26-02</t>
  </si>
  <si>
    <t>KR2008012G26</t>
  </si>
  <si>
    <t>D008012G4</t>
  </si>
  <si>
    <t>울산지역개발채권26-04</t>
  </si>
  <si>
    <t>KR2008012G42</t>
  </si>
  <si>
    <t>D022012B5</t>
  </si>
  <si>
    <t>충남지역개발채권21-05</t>
  </si>
  <si>
    <t>KR2022012B55</t>
  </si>
  <si>
    <t>D022012B6</t>
  </si>
  <si>
    <t>충남지역개발채권21-06</t>
  </si>
  <si>
    <t>KR2022012B63</t>
  </si>
  <si>
    <t>D022012B8</t>
  </si>
  <si>
    <t>충남지역개발채권21-08</t>
  </si>
  <si>
    <t>KR2022012B89</t>
  </si>
  <si>
    <t>D022012B9</t>
  </si>
  <si>
    <t>충남지역개발채권21-09</t>
  </si>
  <si>
    <t>KR2022012B97</t>
  </si>
  <si>
    <t>D022012D1</t>
  </si>
  <si>
    <t>충남지역개발채권23-01</t>
  </si>
  <si>
    <t>KR2022012D12</t>
  </si>
  <si>
    <t>D022012DC</t>
  </si>
  <si>
    <t>충남지역개발채권23-12</t>
  </si>
  <si>
    <t>KR2022012DC8</t>
  </si>
  <si>
    <t>D022012F2</t>
  </si>
  <si>
    <t>충남지역개발채권25-02</t>
  </si>
  <si>
    <t>KR2022012F28</t>
  </si>
  <si>
    <t>D022022BC</t>
  </si>
  <si>
    <t>충남지역개발채권21-12</t>
  </si>
  <si>
    <t>KR2022022BC1</t>
  </si>
  <si>
    <t>D022022C2</t>
  </si>
  <si>
    <t>충남지역개발채권22-02</t>
  </si>
  <si>
    <t>KR2022022C29</t>
  </si>
  <si>
    <t>D022022C3</t>
  </si>
  <si>
    <t>충남지역개발채권22-03</t>
  </si>
  <si>
    <t>KR2022022C37</t>
  </si>
  <si>
    <t>D022022C4</t>
  </si>
  <si>
    <t>충남지역개발채권22-04</t>
  </si>
  <si>
    <t>KR2022022C45</t>
  </si>
  <si>
    <t>D022022C5</t>
  </si>
  <si>
    <t>충남지역개발채권22-05</t>
  </si>
  <si>
    <t>KR2022022C52</t>
  </si>
  <si>
    <t>D022022C6</t>
  </si>
  <si>
    <t>충남지역개발채권22-06</t>
  </si>
  <si>
    <t>KR2022022C60</t>
  </si>
  <si>
    <t>D022022C7</t>
  </si>
  <si>
    <t>충남지역개발채권22-07</t>
  </si>
  <si>
    <t>KR2022022C78</t>
  </si>
  <si>
    <t>D022022C9</t>
  </si>
  <si>
    <t>충남지역개발채권22-09</t>
  </si>
  <si>
    <t>KR2022022C94</t>
  </si>
  <si>
    <t>D022022CA</t>
  </si>
  <si>
    <t>충남지역개발채권22-10</t>
  </si>
  <si>
    <t>KR2022022CA3</t>
  </si>
  <si>
    <t>D022022CB</t>
  </si>
  <si>
    <t>충남지역개발채권22-11</t>
  </si>
  <si>
    <t>KR2022022CB1</t>
  </si>
  <si>
    <t>D022022CC</t>
  </si>
  <si>
    <t>충남지역개발채권22-12</t>
  </si>
  <si>
    <t>KR2022022CC9</t>
  </si>
  <si>
    <t>D022022D2</t>
  </si>
  <si>
    <t>충남지역개발채권23-02</t>
  </si>
  <si>
    <t>KR2022022D28</t>
  </si>
  <si>
    <t>D022022D3</t>
  </si>
  <si>
    <t>충남지역개발채권23-03</t>
  </si>
  <si>
    <t>KR2022022D36</t>
  </si>
  <si>
    <t>D022022D4</t>
  </si>
  <si>
    <t>충남지역개발채권23-04</t>
  </si>
  <si>
    <t>KR2022022D44</t>
  </si>
  <si>
    <t>D022022D6</t>
  </si>
  <si>
    <t>충남지역개발채권23-06</t>
  </si>
  <si>
    <t>KR2022022D69</t>
  </si>
  <si>
    <t>D022022DA</t>
  </si>
  <si>
    <t>충남지역개발채권23-10</t>
  </si>
  <si>
    <t>KR2022022DA1</t>
  </si>
  <si>
    <t>D022022DB</t>
  </si>
  <si>
    <t>충남지역개발채권23-11</t>
  </si>
  <si>
    <t>KR2022022DB9</t>
  </si>
  <si>
    <t>D022022E2</t>
  </si>
  <si>
    <t>충남지역개발채권24-02</t>
  </si>
  <si>
    <t>KR2022022E27</t>
  </si>
  <si>
    <t>D022022E6</t>
  </si>
  <si>
    <t>충남지역개발채권24-06</t>
  </si>
  <si>
    <t>KR2022022E68</t>
  </si>
  <si>
    <t>D022022E7</t>
  </si>
  <si>
    <t>충남지역개발채권24-07</t>
  </si>
  <si>
    <t>KR2022022E76</t>
  </si>
  <si>
    <t>D022022E8</t>
  </si>
  <si>
    <t>충남지역개발채권24-08</t>
  </si>
  <si>
    <t>KR2022022E84</t>
  </si>
  <si>
    <t>D022022E9</t>
  </si>
  <si>
    <t>충남지역개발채권24-09</t>
  </si>
  <si>
    <t>KR2022022E92</t>
  </si>
  <si>
    <t>D022022EA</t>
  </si>
  <si>
    <t>충남지역개발채권24-10</t>
  </si>
  <si>
    <t>KR2022022EA9</t>
  </si>
  <si>
    <t>D022022EB</t>
  </si>
  <si>
    <t>충남지역개발채권24-11</t>
  </si>
  <si>
    <t>KR2022022EB7</t>
  </si>
  <si>
    <t>D022022EC</t>
  </si>
  <si>
    <t>충남지역개발채권24-12</t>
  </si>
  <si>
    <t>KR2022022EC5</t>
  </si>
  <si>
    <t>D022022F1</t>
  </si>
  <si>
    <t>충남지역개발채권25-01</t>
  </si>
  <si>
    <t>KR2022022F18</t>
  </si>
  <si>
    <t>D022022F6</t>
  </si>
  <si>
    <t>충남지역개발채권25-06</t>
  </si>
  <si>
    <t>KR2022022F67</t>
  </si>
  <si>
    <t>D022022F7</t>
  </si>
  <si>
    <t>충남지역개발채권25-07</t>
  </si>
  <si>
    <t>KR2022022F75</t>
  </si>
  <si>
    <t>D022022F8</t>
  </si>
  <si>
    <t>충남지역개발채권25-08</t>
  </si>
  <si>
    <t>KR2022022F83</t>
  </si>
  <si>
    <t>D022022F9</t>
  </si>
  <si>
    <t>충남지역개발채권25-09</t>
  </si>
  <si>
    <t>KR2022022F91</t>
  </si>
  <si>
    <t>D022022FA</t>
  </si>
  <si>
    <t>충남지역개발채권25-10</t>
  </si>
  <si>
    <t>KR2022022FA6</t>
  </si>
  <si>
    <t>D022022FB</t>
  </si>
  <si>
    <t>충남지역개발채권25-11</t>
  </si>
  <si>
    <t>KR2022022FB4</t>
  </si>
  <si>
    <t>D022022FC</t>
  </si>
  <si>
    <t>충남지역개발채권25-12</t>
  </si>
  <si>
    <t>KR2022022FC2</t>
  </si>
  <si>
    <t>D022022G1</t>
  </si>
  <si>
    <t>충남지역개발채권26-01</t>
  </si>
  <si>
    <t>KR2022022G17</t>
  </si>
  <si>
    <t>D022022G2</t>
  </si>
  <si>
    <t>충남지역개발채권26-02</t>
  </si>
  <si>
    <t>KR2022022G25</t>
  </si>
  <si>
    <t>D022022G4</t>
  </si>
  <si>
    <t>충남지역개발채권26-04</t>
  </si>
  <si>
    <t>KR2022022G41</t>
  </si>
  <si>
    <t>D033012B5</t>
  </si>
  <si>
    <t>충북지역개발채권21-05</t>
  </si>
  <si>
    <t>KR2033012B52</t>
  </si>
  <si>
    <t>D033012B6</t>
  </si>
  <si>
    <t>충북지역개발채권21-06</t>
  </si>
  <si>
    <t>KR2033012B60</t>
  </si>
  <si>
    <t>D033012B8</t>
  </si>
  <si>
    <t>충북지역개발채권21-08</t>
  </si>
  <si>
    <t>KR2033012B86</t>
  </si>
  <si>
    <t>D033012B9</t>
  </si>
  <si>
    <t>충북지역개발채권21-09</t>
  </si>
  <si>
    <t>KR2033012B94</t>
  </si>
  <si>
    <t>D033012D1</t>
  </si>
  <si>
    <t>충북지역개발채권23-01</t>
  </si>
  <si>
    <t>KR2033012D19</t>
  </si>
  <si>
    <t>D033012EB</t>
  </si>
  <si>
    <t>충북지역개발채권24-11</t>
  </si>
  <si>
    <t>KR2033012EB5</t>
  </si>
  <si>
    <t>D033012F1</t>
  </si>
  <si>
    <t>충북지역개발채권25-01</t>
  </si>
  <si>
    <t>KR2033012F17</t>
  </si>
  <si>
    <t>D033022BA</t>
  </si>
  <si>
    <t>충북지역개발채권21-10</t>
  </si>
  <si>
    <t>KR2033022BA2</t>
  </si>
  <si>
    <t>D033022BB</t>
  </si>
  <si>
    <t>충북지역개발채권21-11</t>
  </si>
  <si>
    <t>KR2033022BB0</t>
  </si>
  <si>
    <t>D033022C1</t>
  </si>
  <si>
    <t>충북지역개발채권22-01</t>
  </si>
  <si>
    <t>KR2033022C18</t>
  </si>
  <si>
    <t>D033022C3</t>
  </si>
  <si>
    <t>충북지역개발채권22-03</t>
  </si>
  <si>
    <t>KR2033022C34</t>
  </si>
  <si>
    <t>D033022C4</t>
  </si>
  <si>
    <t>충북지역개발채권22-04</t>
  </si>
  <si>
    <t>KR2033022C42</t>
  </si>
  <si>
    <t>D033022C8</t>
  </si>
  <si>
    <t>충북지역개발채권22-08</t>
  </si>
  <si>
    <t>KR2033022C83</t>
  </si>
  <si>
    <t>D033022CC</t>
  </si>
  <si>
    <t>충북지역개발채권22-12</t>
  </si>
  <si>
    <t>KR2033022CC6</t>
  </si>
  <si>
    <t>D033022D4</t>
  </si>
  <si>
    <t>충북지역개발채권23-04</t>
  </si>
  <si>
    <t>KR2033022D41</t>
  </si>
  <si>
    <t>D033022D5</t>
  </si>
  <si>
    <t>충북지역개발채권23-05</t>
  </si>
  <si>
    <t>KR2033022D58</t>
  </si>
  <si>
    <t>D033022D7</t>
  </si>
  <si>
    <t>충북지역개발채권23-07</t>
  </si>
  <si>
    <t>KR2033022D74</t>
  </si>
  <si>
    <t>D033022D8</t>
  </si>
  <si>
    <t>충북지역개발채권23-08</t>
  </si>
  <si>
    <t>KR2033022D82</t>
  </si>
  <si>
    <t>D033022D9</t>
  </si>
  <si>
    <t>충북지역개발채권23-09</t>
  </si>
  <si>
    <t>KR2033022D90</t>
  </si>
  <si>
    <t>D033022DA</t>
  </si>
  <si>
    <t>충북지역개발채권23-10</t>
  </si>
  <si>
    <t>KR2033022DA8</t>
  </si>
  <si>
    <t>D033022DB</t>
  </si>
  <si>
    <t>충북지역개발채권23-11</t>
  </si>
  <si>
    <t>KR2033022DB6</t>
  </si>
  <si>
    <t>D033022E3</t>
  </si>
  <si>
    <t>충북지역개발채권24-03</t>
  </si>
  <si>
    <t>KR2033022E32</t>
  </si>
  <si>
    <t>D033022E4</t>
  </si>
  <si>
    <t>충북지역개발채권24-04</t>
  </si>
  <si>
    <t>KR2033022E40</t>
  </si>
  <si>
    <t>D033022E5</t>
  </si>
  <si>
    <t>충북지역개발채권24-05</t>
  </si>
  <si>
    <t>KR2033022E57</t>
  </si>
  <si>
    <t>D033022E7</t>
  </si>
  <si>
    <t>충북지역개발채권24-07</t>
  </si>
  <si>
    <t>KR2033022E73</t>
  </si>
  <si>
    <t>D033022E8</t>
  </si>
  <si>
    <t>충북지역개발채권24-08</t>
  </si>
  <si>
    <t>KR2033022E81</t>
  </si>
  <si>
    <t>D033022E9</t>
  </si>
  <si>
    <t>충북지역개발채권24-09</t>
  </si>
  <si>
    <t>KR2033022E99</t>
  </si>
  <si>
    <t>D033022EA</t>
  </si>
  <si>
    <t>충북지역개발채권24-10</t>
  </si>
  <si>
    <t>KR2033022EA6</t>
  </si>
  <si>
    <t>D033022EC</t>
  </si>
  <si>
    <t>충북지역개발채권24-12</t>
  </si>
  <si>
    <t>KR2033022EC2</t>
  </si>
  <si>
    <t>D033022F2</t>
  </si>
  <si>
    <t>충북지역개발채권25-02</t>
  </si>
  <si>
    <t>KR2033022F23</t>
  </si>
  <si>
    <t>D033022F3</t>
  </si>
  <si>
    <t>충북지역개발채권25-03</t>
  </si>
  <si>
    <t>KR2033022F31</t>
  </si>
  <si>
    <t>D033022F4</t>
  </si>
  <si>
    <t>충북지역개발채권25-04</t>
  </si>
  <si>
    <t>KR2033022F49</t>
  </si>
  <si>
    <t>D033022F5</t>
  </si>
  <si>
    <t>충북지역개발채권25-05</t>
  </si>
  <si>
    <t>KR2033022F56</t>
  </si>
  <si>
    <t>D033022F6</t>
  </si>
  <si>
    <t>충북지역개발채권25-06</t>
  </si>
  <si>
    <t>KR2033022F64</t>
  </si>
  <si>
    <t>D033022F7</t>
  </si>
  <si>
    <t>충북지역개발채권25-07</t>
  </si>
  <si>
    <t>KR2033022F72</t>
  </si>
  <si>
    <t>D033022F8</t>
  </si>
  <si>
    <t>충북지역개발채권25-08</t>
  </si>
  <si>
    <t>KR2033022F80</t>
  </si>
  <si>
    <t>D033022FA</t>
  </si>
  <si>
    <t>충북지역개발채권25-10</t>
  </si>
  <si>
    <t>KR2033022FA3</t>
  </si>
  <si>
    <t>D033022FB</t>
  </si>
  <si>
    <t>충북지역개발채권25-11</t>
  </si>
  <si>
    <t>KR2033022FB1</t>
  </si>
  <si>
    <t>D033022FC</t>
  </si>
  <si>
    <t>충북지역개발채권25-12</t>
  </si>
  <si>
    <t>KR2033022FC9</t>
  </si>
  <si>
    <t>D033022G1</t>
  </si>
  <si>
    <t>충북지역개발채권26-01</t>
  </si>
  <si>
    <t>KR2033022G14</t>
  </si>
  <si>
    <t>D033022G2</t>
  </si>
  <si>
    <t>충북지역개발채권26-02</t>
  </si>
  <si>
    <t>KR2033022G22</t>
  </si>
  <si>
    <t>D033022G4</t>
  </si>
  <si>
    <t>충북지역개발채권26-04</t>
  </si>
  <si>
    <t>KR2033022G48</t>
  </si>
  <si>
    <t>D044012B4</t>
  </si>
  <si>
    <t>경기지역개발채권21-04</t>
  </si>
  <si>
    <t>KR2044012B42</t>
  </si>
  <si>
    <t>D044012B5</t>
  </si>
  <si>
    <t>경기지역개발채권21-05</t>
  </si>
  <si>
    <t>KR2044012B59</t>
  </si>
  <si>
    <t>D044012B6</t>
  </si>
  <si>
    <t>경기지역개발채권21-06</t>
  </si>
  <si>
    <t>KR2044012B67</t>
  </si>
  <si>
    <t>D044012B7</t>
  </si>
  <si>
    <t>경기지역개발채권21-07</t>
  </si>
  <si>
    <t>KR2044012B75</t>
  </si>
  <si>
    <t>D044012B8</t>
  </si>
  <si>
    <t>경기지역개발채권21-08</t>
  </si>
  <si>
    <t>KR2044012B83</t>
  </si>
  <si>
    <t>D044012B9</t>
  </si>
  <si>
    <t>경기지역개발채권21-09</t>
  </si>
  <si>
    <t>KR2044012B91</t>
  </si>
  <si>
    <t>D044022BA</t>
  </si>
  <si>
    <t>경기지역개발채권21-10</t>
  </si>
  <si>
    <t>KR2044022BA9</t>
  </si>
  <si>
    <t>D044022BB</t>
  </si>
  <si>
    <t>경기지역개발채권21-11</t>
  </si>
  <si>
    <t>KR2044022BB7</t>
  </si>
  <si>
    <t>D044022BC</t>
  </si>
  <si>
    <t>경기지역개발채권21-12</t>
  </si>
  <si>
    <t>KR2044022BC5</t>
  </si>
  <si>
    <t>D044022C4</t>
  </si>
  <si>
    <t>경기지역개발채권22-04</t>
  </si>
  <si>
    <t>KR2044022C49</t>
  </si>
  <si>
    <t>D044022C5</t>
  </si>
  <si>
    <t>경기지역개발채권22-05</t>
  </si>
  <si>
    <t>KR2044022C56</t>
  </si>
  <si>
    <t>D044022C7</t>
  </si>
  <si>
    <t>경기지역개발채권22-07</t>
  </si>
  <si>
    <t>KR2044022C72</t>
  </si>
  <si>
    <t>D044022C8</t>
  </si>
  <si>
    <t>경기지역개발채권22-08</t>
  </si>
  <si>
    <t>KR2044022C80</t>
  </si>
  <si>
    <t>D044022CC</t>
  </si>
  <si>
    <t>경기지역개발채권22-12</t>
  </si>
  <si>
    <t>KR2044022CC3</t>
  </si>
  <si>
    <t>D044022D1</t>
  </si>
  <si>
    <t>경기지역개발채권23-01</t>
  </si>
  <si>
    <t>KR2044022D14</t>
  </si>
  <si>
    <t>D044022D3</t>
  </si>
  <si>
    <t>경기지역개발채권23-03</t>
  </si>
  <si>
    <t>KR2044022D30</t>
  </si>
  <si>
    <t>D044022D5</t>
  </si>
  <si>
    <t>경기지역개발채권23-05</t>
  </si>
  <si>
    <t>KR2044022D55</t>
  </si>
  <si>
    <t>D044022D7</t>
  </si>
  <si>
    <t>경기지역개발채권23-07</t>
  </si>
  <si>
    <t>KR2044022D71</t>
  </si>
  <si>
    <t>D044022D8</t>
  </si>
  <si>
    <t>경기지역개발채권23-08</t>
  </si>
  <si>
    <t>KR2044022D89</t>
  </si>
  <si>
    <t>D044022DA</t>
  </si>
  <si>
    <t>경기지역개발채권23-10</t>
  </si>
  <si>
    <t>KR2044022DA5</t>
  </si>
  <si>
    <t>D044022DB</t>
  </si>
  <si>
    <t>경기지역개발채권23-11</t>
  </si>
  <si>
    <t>KR2044022DB3</t>
  </si>
  <si>
    <t>D044022DC</t>
  </si>
  <si>
    <t>경기지역개발채권23-12</t>
  </si>
  <si>
    <t>KR2044022DC1</t>
  </si>
  <si>
    <t>D044022E1</t>
  </si>
  <si>
    <t>경기지역개발채권24-01</t>
  </si>
  <si>
    <t>KR2044022E13</t>
  </si>
  <si>
    <t>D044022E2</t>
  </si>
  <si>
    <t>경기지역개발채권24-02</t>
  </si>
  <si>
    <t>KR2044022E21</t>
  </si>
  <si>
    <t>D044022E3</t>
  </si>
  <si>
    <t>경기지역개발채권24-03</t>
  </si>
  <si>
    <t>KR2044022E39</t>
  </si>
  <si>
    <t>D044022E4</t>
  </si>
  <si>
    <t>경기지역개발채권24-04</t>
  </si>
  <si>
    <t>KR2044022E47</t>
  </si>
  <si>
    <t>D044022E6</t>
  </si>
  <si>
    <t>경기지역개발채권24-06</t>
  </si>
  <si>
    <t>KR2044022E62</t>
  </si>
  <si>
    <t>D044022E7</t>
  </si>
  <si>
    <t>경기지역개발채권24-07</t>
  </si>
  <si>
    <t>KR2044022E70</t>
  </si>
  <si>
    <t>D044022EA</t>
  </si>
  <si>
    <t>경기지역개발채권24-10</t>
  </si>
  <si>
    <t>KR2044022EA3</t>
  </si>
  <si>
    <t>D044022EC</t>
  </si>
  <si>
    <t>경기지역개발채권24-12</t>
  </si>
  <si>
    <t>KR2044022EC9</t>
  </si>
  <si>
    <t>D044022F1</t>
  </si>
  <si>
    <t>경기지역개발채권25-01</t>
  </si>
  <si>
    <t>KR2044022F12</t>
  </si>
  <si>
    <t>D044022F2</t>
  </si>
  <si>
    <t>경기지역개발채권25-02</t>
  </si>
  <si>
    <t>KR2044022F20</t>
  </si>
  <si>
    <t>D044022F3</t>
  </si>
  <si>
    <t>경기지역개발채권25-03</t>
  </si>
  <si>
    <t>KR2044022F38</t>
  </si>
  <si>
    <t>D044022F4</t>
  </si>
  <si>
    <t>경기지역개발채권25-04</t>
  </si>
  <si>
    <t>KR2044022F46</t>
  </si>
  <si>
    <t>D044022F5</t>
  </si>
  <si>
    <t>경기지역개발채권25-05</t>
  </si>
  <si>
    <t>KR2044022F53</t>
  </si>
  <si>
    <t>D044022F6</t>
  </si>
  <si>
    <t>경기지역개발채권25-06</t>
  </si>
  <si>
    <t>KR2044022F61</t>
  </si>
  <si>
    <t>D044022F7</t>
  </si>
  <si>
    <t>경기지역개발채권25-07</t>
  </si>
  <si>
    <t>KR2044022F79</t>
  </si>
  <si>
    <t>D044022F9</t>
  </si>
  <si>
    <t>경기지역개발채권25-09</t>
  </si>
  <si>
    <t>KR2044022F95</t>
  </si>
  <si>
    <t>D044022FA</t>
  </si>
  <si>
    <t>경기지역개발채권25-10</t>
  </si>
  <si>
    <t>KR2044022FA0</t>
  </si>
  <si>
    <t>D044022FB</t>
  </si>
  <si>
    <t>경기지역개발채권25-11</t>
  </si>
  <si>
    <t>KR2044022FB8</t>
  </si>
  <si>
    <t>D044022FC</t>
  </si>
  <si>
    <t>경기지역개발채권25-12</t>
  </si>
  <si>
    <t>KR2044022FC6</t>
  </si>
  <si>
    <t>D044022G1</t>
  </si>
  <si>
    <t>경기지역개발채권26-01</t>
  </si>
  <si>
    <t>KR2044022G11</t>
  </si>
  <si>
    <t>D044022G2</t>
  </si>
  <si>
    <t>경기지역개발채권26-02</t>
  </si>
  <si>
    <t>KR2044022G29</t>
  </si>
  <si>
    <t>D044022G4</t>
  </si>
  <si>
    <t>경기지역개발채권26-04</t>
  </si>
  <si>
    <t>KR2044022G45</t>
  </si>
  <si>
    <t>D044032E5</t>
  </si>
  <si>
    <t>경기지역개발채권24-05</t>
  </si>
  <si>
    <t>KR2044032E52</t>
  </si>
  <si>
    <t>D044032E8</t>
  </si>
  <si>
    <t>경기지역개발채권24-08</t>
  </si>
  <si>
    <t>KR2044032E86</t>
  </si>
  <si>
    <t>D055012B4</t>
  </si>
  <si>
    <t>전북지역개발채권21-04</t>
  </si>
  <si>
    <t>KR2055012B48</t>
  </si>
  <si>
    <t>D055012B5</t>
  </si>
  <si>
    <t>전북지역개발채권21-05</t>
  </si>
  <si>
    <t>KR2055012B55</t>
  </si>
  <si>
    <t>D055012CB</t>
  </si>
  <si>
    <t>전북지역개발채권22-11</t>
  </si>
  <si>
    <t>KR2055012CB2</t>
  </si>
  <si>
    <t>D055012D1</t>
  </si>
  <si>
    <t>전북지역개발채권23-01</t>
  </si>
  <si>
    <t>KR2055012D12</t>
  </si>
  <si>
    <t>D055012D3</t>
  </si>
  <si>
    <t>전북지역개발채권23-03</t>
  </si>
  <si>
    <t>KR2055012D38</t>
  </si>
  <si>
    <t>D055012D4</t>
  </si>
  <si>
    <t>전북지역개발채권23-04</t>
  </si>
  <si>
    <t>KR2055012D46</t>
  </si>
  <si>
    <t>D055012D5</t>
  </si>
  <si>
    <t>전북지역개발채권23-05</t>
  </si>
  <si>
    <t>KR2055012D53</t>
  </si>
  <si>
    <t>D055012DB</t>
  </si>
  <si>
    <t>전북지역개발채권23-11</t>
  </si>
  <si>
    <t>KR2055012DB0</t>
  </si>
  <si>
    <t>D055012EB</t>
  </si>
  <si>
    <t>전북지역개발채권24-11</t>
  </si>
  <si>
    <t>KR2055012EB8</t>
  </si>
  <si>
    <t>D055012EC</t>
  </si>
  <si>
    <t>전북지역개발채권24-12</t>
  </si>
  <si>
    <t>KR2055012EC6</t>
  </si>
  <si>
    <t>D055012F1</t>
  </si>
  <si>
    <t>전북지역개발채권25-01</t>
  </si>
  <si>
    <t>KR2055012F10</t>
  </si>
  <si>
    <t>D055012F2</t>
  </si>
  <si>
    <t>전북지역개발채권25-02</t>
  </si>
  <si>
    <t>KR2055012F28</t>
  </si>
  <si>
    <t>D055022BB</t>
  </si>
  <si>
    <t>전북지역개발채권21-11</t>
  </si>
  <si>
    <t>KR2055022BB3</t>
  </si>
  <si>
    <t>D055022BC</t>
  </si>
  <si>
    <t>전북지역개발채권21-12</t>
  </si>
  <si>
    <t>KR2055022BC1</t>
  </si>
  <si>
    <t>D055022C7</t>
  </si>
  <si>
    <t>전북지역개발채권22-07</t>
  </si>
  <si>
    <t>KR2055022C78</t>
  </si>
  <si>
    <t>D055022D6</t>
  </si>
  <si>
    <t>전북지역개발채권23-06</t>
  </si>
  <si>
    <t>KR2055022D69</t>
  </si>
  <si>
    <t>D055022D8</t>
  </si>
  <si>
    <t>전북지역개발채권23-08</t>
  </si>
  <si>
    <t>KR2055022D85</t>
  </si>
  <si>
    <t>D055022D9</t>
  </si>
  <si>
    <t>전북지역개발채권23-09</t>
  </si>
  <si>
    <t>KR2055022D93</t>
  </si>
  <si>
    <t>D055022DC</t>
  </si>
  <si>
    <t>전북지역개발채권23-12</t>
  </si>
  <si>
    <t>KR2055022DC7</t>
  </si>
  <si>
    <t>D055022E3</t>
  </si>
  <si>
    <t>전북지역개발채권24-03</t>
  </si>
  <si>
    <t>KR2055022E35</t>
  </si>
  <si>
    <t>D055022E4</t>
  </si>
  <si>
    <t>전북지역개발채권24-04</t>
  </si>
  <si>
    <t>KR2055022E43</t>
  </si>
  <si>
    <t>D055022E5</t>
  </si>
  <si>
    <t>전북지역개발채권24-05</t>
  </si>
  <si>
    <t>KR2055022E50</t>
  </si>
  <si>
    <t>D055022E7</t>
  </si>
  <si>
    <t>전북지역개발채권24-07</t>
  </si>
  <si>
    <t>KR2055022E76</t>
  </si>
  <si>
    <t>D055022E9</t>
  </si>
  <si>
    <t>전북지역개발채권24-09</t>
  </si>
  <si>
    <t>KR2055022E92</t>
  </si>
  <si>
    <t>D055022EA</t>
  </si>
  <si>
    <t>전북지역개발채권24-10</t>
  </si>
  <si>
    <t>KR2055022EA9</t>
  </si>
  <si>
    <t>D055022F3</t>
  </si>
  <si>
    <t>전북지역개발채권25-03</t>
  </si>
  <si>
    <t>KR2055022F34</t>
  </si>
  <si>
    <t>D055022F6</t>
  </si>
  <si>
    <t>전북지역개발채권25-06</t>
  </si>
  <si>
    <t>KR2055022F67</t>
  </si>
  <si>
    <t>D055022F7</t>
  </si>
  <si>
    <t>전북지역개발채권25-07</t>
  </si>
  <si>
    <t>KR2055022F75</t>
  </si>
  <si>
    <t>D055022F8</t>
  </si>
  <si>
    <t>전북지역개발채권25-08</t>
  </si>
  <si>
    <t>KR2055022F83</t>
  </si>
  <si>
    <t>D055022F9</t>
  </si>
  <si>
    <t>전북지역개발채권25-09</t>
  </si>
  <si>
    <t>KR2055022F91</t>
  </si>
  <si>
    <t>D055022FB</t>
  </si>
  <si>
    <t>전북지역개발채권25-11</t>
  </si>
  <si>
    <t>KR2055022FB4</t>
  </si>
  <si>
    <t>D055022FC</t>
  </si>
  <si>
    <t>전북지역개발채권25-12</t>
  </si>
  <si>
    <t>KR2055022FC2</t>
  </si>
  <si>
    <t>D055022G1</t>
  </si>
  <si>
    <t>전북지역개발채권26-01</t>
  </si>
  <si>
    <t>KR2055022G17</t>
  </si>
  <si>
    <t>D055022G2</t>
  </si>
  <si>
    <t>전북지역개발채권26-02</t>
  </si>
  <si>
    <t>KR2055022G25</t>
  </si>
  <si>
    <t>D055022G4</t>
  </si>
  <si>
    <t>전북지역개발채권26-04</t>
  </si>
  <si>
    <t>KR2055022G41</t>
  </si>
  <si>
    <t>D066012B4</t>
  </si>
  <si>
    <t>전남지역개발채권21-04</t>
  </si>
  <si>
    <t>KR2066012B45</t>
  </si>
  <si>
    <t>D066012B5</t>
  </si>
  <si>
    <t>전남지역개발채권21-05</t>
  </si>
  <si>
    <t>KR2066012B52</t>
  </si>
  <si>
    <t>D066012B6</t>
  </si>
  <si>
    <t>전남지역개발채권21-06</t>
  </si>
  <si>
    <t>KR2066012B60</t>
  </si>
  <si>
    <t>D066012B7</t>
  </si>
  <si>
    <t>전남지역개발채권21-07</t>
  </si>
  <si>
    <t>KR2066012B78</t>
  </si>
  <si>
    <t>D066012B8</t>
  </si>
  <si>
    <t>전남지역개발채권21-08</t>
  </si>
  <si>
    <t>KR2066012B86</t>
  </si>
  <si>
    <t>D066012B9</t>
  </si>
  <si>
    <t>전남지역개발채권21-09</t>
  </si>
  <si>
    <t>KR2066012B94</t>
  </si>
  <si>
    <t>D066012C8</t>
  </si>
  <si>
    <t>전남지역개발채권22-08</t>
  </si>
  <si>
    <t>KR2066012C85</t>
  </si>
  <si>
    <t>D066012CA</t>
  </si>
  <si>
    <t>전남지역개발채권22-10</t>
  </si>
  <si>
    <t>KR2066012CA1</t>
  </si>
  <si>
    <t>D066012D2</t>
  </si>
  <si>
    <t>전남지역개발채권23-02</t>
  </si>
  <si>
    <t>KR2066012D27</t>
  </si>
  <si>
    <t>D066012D3</t>
  </si>
  <si>
    <t>전남지역개발채권23-03</t>
  </si>
  <si>
    <t>KR2066012D35</t>
  </si>
  <si>
    <t>D066012DA</t>
  </si>
  <si>
    <t>전남지역개발채권23-10</t>
  </si>
  <si>
    <t>KR2066012DA9</t>
  </si>
  <si>
    <t>D066012F1</t>
  </si>
  <si>
    <t>전남지역개발채권25-01</t>
  </si>
  <si>
    <t>KR2066012F17</t>
  </si>
  <si>
    <t>D066012F2</t>
  </si>
  <si>
    <t>전남지역개발채권25-02</t>
  </si>
  <si>
    <t>KR2066012F25</t>
  </si>
  <si>
    <t>D066022BA</t>
  </si>
  <si>
    <t>전남지역개발채권21-10</t>
  </si>
  <si>
    <t>KR2066022BA2</t>
  </si>
  <si>
    <t>D066022BB</t>
  </si>
  <si>
    <t>전남지역개발채권21-11</t>
  </si>
  <si>
    <t>KR2066022BB0</t>
  </si>
  <si>
    <t>D066022BC</t>
  </si>
  <si>
    <t>전남지역개발채권21-12</t>
  </si>
  <si>
    <t>KR2066022BC8</t>
  </si>
  <si>
    <t>D066022C2</t>
  </si>
  <si>
    <t>전남지역개발채권22-02</t>
  </si>
  <si>
    <t>KR2066022C26</t>
  </si>
  <si>
    <t>D066022C3</t>
  </si>
  <si>
    <t>전남지역개발채권22-03</t>
  </si>
  <si>
    <t>KR2066022C34</t>
  </si>
  <si>
    <t>D066022C5</t>
  </si>
  <si>
    <t>전남지역개발채권22-05</t>
  </si>
  <si>
    <t>KR2066022C59</t>
  </si>
  <si>
    <t>D066022CC</t>
  </si>
  <si>
    <t>전남지역개발채권22-12</t>
  </si>
  <si>
    <t>KR2066022CC6</t>
  </si>
  <si>
    <t>D066022D1</t>
  </si>
  <si>
    <t>전남지역개발채권23-01</t>
  </si>
  <si>
    <t>KR2066022D17</t>
  </si>
  <si>
    <t>D066022D4</t>
  </si>
  <si>
    <t>전남지역개발채권23-04</t>
  </si>
  <si>
    <t>KR2066022D41</t>
  </si>
  <si>
    <t>D066022D5</t>
  </si>
  <si>
    <t>전남지역개발채권23-05</t>
  </si>
  <si>
    <t>KR2066022D58</t>
  </si>
  <si>
    <t>D066022D6</t>
  </si>
  <si>
    <t>전남지역개발채권23-06</t>
  </si>
  <si>
    <t>KR2066022D66</t>
  </si>
  <si>
    <t>D066022D7</t>
  </si>
  <si>
    <t>전남지역개발채권23-07</t>
  </si>
  <si>
    <t>KR2066022D74</t>
  </si>
  <si>
    <t>D066022D8</t>
  </si>
  <si>
    <t>전남지역개발채권23-08</t>
  </si>
  <si>
    <t>KR2066022D82</t>
  </si>
  <si>
    <t>D066022D9</t>
  </si>
  <si>
    <t>전남지역개발채권23-09</t>
  </si>
  <si>
    <t>KR2066022D90</t>
  </si>
  <si>
    <t>D066022DB</t>
  </si>
  <si>
    <t>전남지역개발채권23-11</t>
  </si>
  <si>
    <t>KR2066022DB6</t>
  </si>
  <si>
    <t>D066022DC</t>
  </si>
  <si>
    <t>전남지역개발채권23-12</t>
  </si>
  <si>
    <t>KR2066022DC4</t>
  </si>
  <si>
    <t>D066022E2</t>
  </si>
  <si>
    <t>전남지역개발채권24-02</t>
  </si>
  <si>
    <t>KR2066022E24</t>
  </si>
  <si>
    <t>D066022E3</t>
  </si>
  <si>
    <t>전남지역개발채권24-03</t>
  </si>
  <si>
    <t>KR2066022E32</t>
  </si>
  <si>
    <t>D066022E4</t>
  </si>
  <si>
    <t>전남지역개발채권24-04</t>
  </si>
  <si>
    <t>KR2066022E40</t>
  </si>
  <si>
    <t>D066022E5</t>
  </si>
  <si>
    <t>전남지역개발채권24-05</t>
  </si>
  <si>
    <t>KR2066022E57</t>
  </si>
  <si>
    <t>D066022E6</t>
  </si>
  <si>
    <t>전남지역개발채권24-06</t>
  </si>
  <si>
    <t>KR2066022E65</t>
  </si>
  <si>
    <t>D066022E7</t>
  </si>
  <si>
    <t>전남지역개발채권24-07</t>
  </si>
  <si>
    <t>KR2066022E73</t>
  </si>
  <si>
    <t>D066022E9</t>
  </si>
  <si>
    <t>전남지역개발채권24-09</t>
  </si>
  <si>
    <t>KR2066022E99</t>
  </si>
  <si>
    <t>D066022EA</t>
  </si>
  <si>
    <t>전남지역개발채권24-10</t>
  </si>
  <si>
    <t>KR2066022EA6</t>
  </si>
  <si>
    <t>D066022EB</t>
  </si>
  <si>
    <t>전남지역개발채권24-11</t>
  </si>
  <si>
    <t>KR2066022EB4</t>
  </si>
  <si>
    <t>D066022EC</t>
  </si>
  <si>
    <t>전남지역개발채권24-12</t>
  </si>
  <si>
    <t>KR2066022EC2</t>
  </si>
  <si>
    <t>D066022F6</t>
  </si>
  <si>
    <t>전남지역개발채권25-06</t>
  </si>
  <si>
    <t>KR2066022F64</t>
  </si>
  <si>
    <t>D066022F7</t>
  </si>
  <si>
    <t>전남지역개발채권25-07</t>
  </si>
  <si>
    <t>KR2066022F72</t>
  </si>
  <si>
    <t>D066022F8</t>
  </si>
  <si>
    <t>전남지역개발채권25-08</t>
  </si>
  <si>
    <t>KR2066022F80</t>
  </si>
  <si>
    <t>D066022F9</t>
  </si>
  <si>
    <t>전남지역개발채권25-09</t>
  </si>
  <si>
    <t>KR2066022F98</t>
  </si>
  <si>
    <t>D066022FA</t>
  </si>
  <si>
    <t>전남지역개발채권25-10</t>
  </si>
  <si>
    <t>KR2066022FA3</t>
  </si>
  <si>
    <t>D066022FB</t>
  </si>
  <si>
    <t>전남지역개발채권25-11</t>
  </si>
  <si>
    <t>KR2066022FB1</t>
  </si>
  <si>
    <t>D066022FC</t>
  </si>
  <si>
    <t>전남지역개발채권25-12</t>
  </si>
  <si>
    <t>KR2066022FC9</t>
  </si>
  <si>
    <t>D066022G1</t>
  </si>
  <si>
    <t>전남지역개발채권26-01</t>
  </si>
  <si>
    <t>KR2066022G14</t>
  </si>
  <si>
    <t>D066022G2</t>
  </si>
  <si>
    <t>전남지역개발채권26-02</t>
  </si>
  <si>
    <t>KR2066022G22</t>
  </si>
  <si>
    <t>D066022G4</t>
  </si>
  <si>
    <t>전남지역개발채권26-04</t>
  </si>
  <si>
    <t>KR2066022G48</t>
  </si>
  <si>
    <t>D077012B6</t>
  </si>
  <si>
    <t>경북지역개발채권21-06</t>
  </si>
  <si>
    <t>KR2077012B67</t>
  </si>
  <si>
    <t>D077012B8</t>
  </si>
  <si>
    <t>경북지역개발채권21-08</t>
  </si>
  <si>
    <t>KR2077012B83</t>
  </si>
  <si>
    <t>D077012BA</t>
  </si>
  <si>
    <t>경북지역개발채권21-10</t>
  </si>
  <si>
    <t>KR2077012BA0</t>
  </si>
  <si>
    <t>D077012BB</t>
  </si>
  <si>
    <t>경북지역개발채권21-11</t>
  </si>
  <si>
    <t>KR2077012BB8</t>
  </si>
  <si>
    <t>D077012C6</t>
  </si>
  <si>
    <t>경북지역개발채권22-06</t>
  </si>
  <si>
    <t>KR2077012C66</t>
  </si>
  <si>
    <t>D077012CC</t>
  </si>
  <si>
    <t>경북지역개발채권22-12</t>
  </si>
  <si>
    <t>KR2077012CC4</t>
  </si>
  <si>
    <t>D077012D1</t>
  </si>
  <si>
    <t>경북지역개발채권23-01</t>
  </si>
  <si>
    <t>KR2077012D16</t>
  </si>
  <si>
    <t>D077012D4</t>
  </si>
  <si>
    <t>경북지역개발채권23-04</t>
  </si>
  <si>
    <t>KR2077012D40</t>
  </si>
  <si>
    <t>D077012D5</t>
  </si>
  <si>
    <t>경북지역개발채권23-05</t>
  </si>
  <si>
    <t>KR2077012D57</t>
  </si>
  <si>
    <t>D077012D6</t>
  </si>
  <si>
    <t>경북지역개발채권23-06</t>
  </si>
  <si>
    <t>KR2077012D65</t>
  </si>
  <si>
    <t>D077012D8</t>
  </si>
  <si>
    <t>경북지역개발채권23-08</t>
  </si>
  <si>
    <t>KR2077012D81</t>
  </si>
  <si>
    <t>D077012D9</t>
  </si>
  <si>
    <t>경북지역개발채권23-09</t>
  </si>
  <si>
    <t>KR2077012D99</t>
  </si>
  <si>
    <t>D077012E1</t>
  </si>
  <si>
    <t>경북지역개발채권24-01</t>
  </si>
  <si>
    <t>KR2077012E15</t>
  </si>
  <si>
    <t>D077012E3</t>
  </si>
  <si>
    <t>경북지역개발채권24-03</t>
  </si>
  <si>
    <t>KR2077012E31</t>
  </si>
  <si>
    <t>D077012F1</t>
  </si>
  <si>
    <t>경북지역개발채권25-01</t>
  </si>
  <si>
    <t>KR2077012F14</t>
  </si>
  <si>
    <t>D077012F7</t>
  </si>
  <si>
    <t>경북지역개발채권25-07</t>
  </si>
  <si>
    <t>KR2077012F71</t>
  </si>
  <si>
    <t>D077012F8</t>
  </si>
  <si>
    <t>경북지역개발채권25-08</t>
  </si>
  <si>
    <t>KR2077012F89</t>
  </si>
  <si>
    <t>D077012F9</t>
  </si>
  <si>
    <t>경북지역개발채권25-09</t>
  </si>
  <si>
    <t>KR2077012F97</t>
  </si>
  <si>
    <t>D077022C5</t>
  </si>
  <si>
    <t>경북지역개발채권22-05</t>
  </si>
  <si>
    <t>KR2077022C56</t>
  </si>
  <si>
    <t>D077022C7</t>
  </si>
  <si>
    <t>경북지역개발채권22-07</t>
  </si>
  <si>
    <t>KR2077022C72</t>
  </si>
  <si>
    <t>D077022C8</t>
  </si>
  <si>
    <t>경북지역개발채권22-08</t>
  </si>
  <si>
    <t>KR2077022C80</t>
  </si>
  <si>
    <t>D077022D2</t>
  </si>
  <si>
    <t>경북지역개발채권23-02</t>
  </si>
  <si>
    <t>KR2077022D22</t>
  </si>
  <si>
    <t>D077022D7</t>
  </si>
  <si>
    <t>경북지역개발채권23-07</t>
  </si>
  <si>
    <t>KR2077022D71</t>
  </si>
  <si>
    <t>D077022DB</t>
  </si>
  <si>
    <t>경북지역개발채권23-11</t>
  </si>
  <si>
    <t>KR2077022DB3</t>
  </si>
  <si>
    <t>D077022DC</t>
  </si>
  <si>
    <t>경북지역개발채권23-12</t>
  </si>
  <si>
    <t>KR2077022DC1</t>
  </si>
  <si>
    <t>D077022EA</t>
  </si>
  <si>
    <t>경북지역개발채권24-10</t>
  </si>
  <si>
    <t>KR2077022EA3</t>
  </si>
  <si>
    <t>D077022EB</t>
  </si>
  <si>
    <t>경북지역개발채권24-11</t>
  </si>
  <si>
    <t>KR2077022EB1</t>
  </si>
  <si>
    <t>D077022EC</t>
  </si>
  <si>
    <t>경북지역개발채권24-12</t>
  </si>
  <si>
    <t>KR2077022EC9</t>
  </si>
  <si>
    <t>D077022F2</t>
  </si>
  <si>
    <t>경북지역개발채권25-02</t>
  </si>
  <si>
    <t>KR2077022F20</t>
  </si>
  <si>
    <t>D077022F3</t>
  </si>
  <si>
    <t>경북지역개발채권25-03</t>
  </si>
  <si>
    <t>KR2077022F38</t>
  </si>
  <si>
    <t>D077022F5</t>
  </si>
  <si>
    <t>경북지역개발채권25-05</t>
  </si>
  <si>
    <t>KR2077022F53</t>
  </si>
  <si>
    <t>D077022F6</t>
  </si>
  <si>
    <t>경북지역개발채권25-06</t>
  </si>
  <si>
    <t>KR2077022F61</t>
  </si>
  <si>
    <t>D077022FA</t>
  </si>
  <si>
    <t>경북지역개발채권25-10</t>
  </si>
  <si>
    <t>KR2077022FA0</t>
  </si>
  <si>
    <t>D077022FB</t>
  </si>
  <si>
    <t>경북지역개발채권25-11</t>
  </si>
  <si>
    <t>KR2077022FB8</t>
  </si>
  <si>
    <t>D077022FC</t>
  </si>
  <si>
    <t>경북지역개발채권25-12</t>
  </si>
  <si>
    <t>KR2077022FC6</t>
  </si>
  <si>
    <t>D077022G1</t>
  </si>
  <si>
    <t>경북지역개발채권26-01</t>
  </si>
  <si>
    <t>KR2077022G11</t>
  </si>
  <si>
    <t>D077022G2</t>
  </si>
  <si>
    <t>경북지역개발채권26-02</t>
  </si>
  <si>
    <t>KR2077022G29</t>
  </si>
  <si>
    <t>D077022G4</t>
  </si>
  <si>
    <t>경북지역개발채권26-04</t>
  </si>
  <si>
    <t>KR2077022G45</t>
  </si>
  <si>
    <t>D077032E4</t>
  </si>
  <si>
    <t>경북지역개발채권24-04</t>
  </si>
  <si>
    <t>KR2077032E45</t>
  </si>
  <si>
    <t>D077032E6</t>
  </si>
  <si>
    <t>경북지역개발채권24-06</t>
  </si>
  <si>
    <t>KR2077032E60</t>
  </si>
  <si>
    <t>D077032E7</t>
  </si>
  <si>
    <t>경북지역개발채권24-07</t>
  </si>
  <si>
    <t>KR2077032E78</t>
  </si>
  <si>
    <t>D077032E8</t>
  </si>
  <si>
    <t>경북지역개발채권24-08</t>
  </si>
  <si>
    <t>KR2077032E86</t>
  </si>
  <si>
    <t>D088012B6</t>
  </si>
  <si>
    <t>경남지역개발채권21-06</t>
  </si>
  <si>
    <t>KR2088012B64</t>
  </si>
  <si>
    <t>D088012B7</t>
  </si>
  <si>
    <t>경남지역개발채권21-07</t>
  </si>
  <si>
    <t>KR2088012B72</t>
  </si>
  <si>
    <t>D088012B8</t>
  </si>
  <si>
    <t>경남지역개발채권21-08</t>
  </si>
  <si>
    <t>KR2088012B80</t>
  </si>
  <si>
    <t>D088012B9</t>
  </si>
  <si>
    <t>경남지역개발채권21-09</t>
  </si>
  <si>
    <t>KR2088012B98</t>
  </si>
  <si>
    <t>D088012CA</t>
  </si>
  <si>
    <t>경남지역개발채권22-10</t>
  </si>
  <si>
    <t>KR2088012CA5</t>
  </si>
  <si>
    <t>D088012D1</t>
  </si>
  <si>
    <t>경남지역개발채권23-01</t>
  </si>
  <si>
    <t>KR2088012D13</t>
  </si>
  <si>
    <t>D088012D2</t>
  </si>
  <si>
    <t>경남지역개발채권23-02</t>
  </si>
  <si>
    <t>KR2088012D21</t>
  </si>
  <si>
    <t>D088022BA</t>
  </si>
  <si>
    <t>경남지역개발채권21-10</t>
  </si>
  <si>
    <t>KR2088022BA6</t>
  </si>
  <si>
    <t>D088022BB</t>
  </si>
  <si>
    <t>경남지역개발채권21-11</t>
  </si>
  <si>
    <t>KR2088022BB4</t>
  </si>
  <si>
    <t>D088022BC</t>
  </si>
  <si>
    <t>경남지역개발채권21-12</t>
  </si>
  <si>
    <t>KR2088022BC2</t>
  </si>
  <si>
    <t>D088022C1</t>
  </si>
  <si>
    <t>경남지역개발채권22-01</t>
  </si>
  <si>
    <t>KR2088022C12</t>
  </si>
  <si>
    <t>D088022C2</t>
  </si>
  <si>
    <t>경남지역개발채권22-02</t>
  </si>
  <si>
    <t>KR2088022C20</t>
  </si>
  <si>
    <t>D088022C3</t>
  </si>
  <si>
    <t>경남지역개발채권22-03</t>
  </si>
  <si>
    <t>KR2088022C38</t>
  </si>
  <si>
    <t>D088022C6</t>
  </si>
  <si>
    <t>경남지역개발채권22-06</t>
  </si>
  <si>
    <t>KR2088022C61</t>
  </si>
  <si>
    <t>D088022C7</t>
  </si>
  <si>
    <t>경남지역개발채권22-07</t>
  </si>
  <si>
    <t>KR2088022C79</t>
  </si>
  <si>
    <t>D088022C8</t>
  </si>
  <si>
    <t>경남지역개발채권22-08</t>
  </si>
  <si>
    <t>KR2088022C87</t>
  </si>
  <si>
    <t>D088022CB</t>
  </si>
  <si>
    <t>경남지역개발채권22-11</t>
  </si>
  <si>
    <t>KR2088022CB2</t>
  </si>
  <si>
    <t>D088022CC</t>
  </si>
  <si>
    <t>경남지역개발채권22-12</t>
  </si>
  <si>
    <t>KR2088022CC0</t>
  </si>
  <si>
    <t>D088022D3</t>
  </si>
  <si>
    <t>경남지역개발채권23-03</t>
  </si>
  <si>
    <t>KR2088022D37</t>
  </si>
  <si>
    <t>D088022D4</t>
  </si>
  <si>
    <t>경남지역개발채권23-04</t>
  </si>
  <si>
    <t>KR2088022D45</t>
  </si>
  <si>
    <t>D088022D5</t>
  </si>
  <si>
    <t>경남지역개발채권23-05</t>
  </si>
  <si>
    <t>KR2088022D52</t>
  </si>
  <si>
    <t>D088022D6</t>
  </si>
  <si>
    <t>경남지역개발채권23-06</t>
  </si>
  <si>
    <t>KR2088022D60</t>
  </si>
  <si>
    <t>D088022D7</t>
  </si>
  <si>
    <t>경남지역개발채권23-07</t>
  </si>
  <si>
    <t>KR2088022D78</t>
  </si>
  <si>
    <t>D088022D8</t>
  </si>
  <si>
    <t>경남지역개발채권23-08</t>
  </si>
  <si>
    <t>KR2088022D86</t>
  </si>
  <si>
    <t>D088022D9</t>
  </si>
  <si>
    <t>경남지역개발채권23-09</t>
  </si>
  <si>
    <t>KR2088022D94</t>
  </si>
  <si>
    <t>D088022DA</t>
  </si>
  <si>
    <t>경남지역개발채권23-10</t>
  </si>
  <si>
    <t>KR2088022DA2</t>
  </si>
  <si>
    <t>D088022DB</t>
  </si>
  <si>
    <t>경남지역개발채권23-11</t>
  </si>
  <si>
    <t>KR2088022DB0</t>
  </si>
  <si>
    <t>D088022E1</t>
  </si>
  <si>
    <t>경남지역개발채권24-01</t>
  </si>
  <si>
    <t>KR2088022E10</t>
  </si>
  <si>
    <t>D088022E3</t>
  </si>
  <si>
    <t>경남지역개발채권24-03</t>
  </si>
  <si>
    <t>KR2088022E36</t>
  </si>
  <si>
    <t>D088022E4</t>
  </si>
  <si>
    <t>경남지역개발채권24-04</t>
  </si>
  <si>
    <t>KR2088022E44</t>
  </si>
  <si>
    <t>D088022E5</t>
  </si>
  <si>
    <t>경남지역개발채권24-05</t>
  </si>
  <si>
    <t>KR2088022E51</t>
  </si>
  <si>
    <t>D088022E6</t>
  </si>
  <si>
    <t>경남지역개발채권24-06</t>
  </si>
  <si>
    <t>KR2088022E69</t>
  </si>
  <si>
    <t>D088022E7</t>
  </si>
  <si>
    <t>경남지역개발채권24-07</t>
  </si>
  <si>
    <t>KR2088022E77</t>
  </si>
  <si>
    <t>D088022E8</t>
  </si>
  <si>
    <t>경남지역개발채권24-08</t>
  </si>
  <si>
    <t>KR2088022E85</t>
  </si>
  <si>
    <t>D088022E9</t>
  </si>
  <si>
    <t>경남지역개발채권24-09</t>
  </si>
  <si>
    <t>KR2088022E93</t>
  </si>
  <si>
    <t>D088022EA</t>
  </si>
  <si>
    <t>경남지역개발채권24-10</t>
  </si>
  <si>
    <t>KR2088022EA0</t>
  </si>
  <si>
    <t>D088022EB</t>
  </si>
  <si>
    <t>경남지역개발채권24-11</t>
  </si>
  <si>
    <t>KR2088022EB8</t>
  </si>
  <si>
    <t>D088022EC</t>
  </si>
  <si>
    <t>경남지역개발채권24-12</t>
  </si>
  <si>
    <t>KR2088022EC6</t>
  </si>
  <si>
    <t>D088022F1</t>
  </si>
  <si>
    <t>경남지역개발채권25-01</t>
  </si>
  <si>
    <t>KR2088022F19</t>
  </si>
  <si>
    <t>D088022F2</t>
  </si>
  <si>
    <t>경남지역개발채권25-02</t>
  </si>
  <si>
    <t>KR2088022F27</t>
  </si>
  <si>
    <t>D088022F3</t>
  </si>
  <si>
    <t>경남지역개발채권25-03</t>
  </si>
  <si>
    <t>KR2088022F35</t>
  </si>
  <si>
    <t>D088022F4</t>
  </si>
  <si>
    <t>경남지역개발채권25-04</t>
  </si>
  <si>
    <t>KR2088022F43</t>
  </si>
  <si>
    <t>D088022F5</t>
  </si>
  <si>
    <t>경남지역개발채권25-05</t>
  </si>
  <si>
    <t>KR2088022F50</t>
  </si>
  <si>
    <t>D088022F6</t>
  </si>
  <si>
    <t>경남지역개발채권25-06</t>
  </si>
  <si>
    <t>KR2088022F68</t>
  </si>
  <si>
    <t>D088022F7</t>
  </si>
  <si>
    <t>경남지역개발채권25-07</t>
  </si>
  <si>
    <t>KR2088022F76</t>
  </si>
  <si>
    <t>D088022F8</t>
  </si>
  <si>
    <t>경남지역개발채권25-08</t>
  </si>
  <si>
    <t>KR2088022F84</t>
  </si>
  <si>
    <t>D088022F9</t>
  </si>
  <si>
    <t>경남지역개발채권25-09</t>
  </si>
  <si>
    <t>KR2088022F92</t>
  </si>
  <si>
    <t>D088022FA</t>
  </si>
  <si>
    <t>경남지역개발채권25-10</t>
  </si>
  <si>
    <t>KR2088022FA7</t>
  </si>
  <si>
    <t>D088022FB</t>
  </si>
  <si>
    <t>경남지역개발채권25-11</t>
  </si>
  <si>
    <t>KR2088022FB5</t>
  </si>
  <si>
    <t>D088022FC</t>
  </si>
  <si>
    <t>경남지역개발채권25-12</t>
  </si>
  <si>
    <t>KR2088022FC3</t>
  </si>
  <si>
    <t>D088022G1</t>
  </si>
  <si>
    <t>경남지역개발채권26-01</t>
  </si>
  <si>
    <t>KR2088022G18</t>
  </si>
  <si>
    <t>D088022G2</t>
  </si>
  <si>
    <t>경남지역개발채권26-02</t>
  </si>
  <si>
    <t>KR2088022G26</t>
  </si>
  <si>
    <t>D088022G4</t>
  </si>
  <si>
    <t>경남지역개발채권26-04</t>
  </si>
  <si>
    <t>KR2088022G42</t>
  </si>
  <si>
    <t>D099012B4</t>
  </si>
  <si>
    <t>제주지역개발채권21-04</t>
  </si>
  <si>
    <t>KR2099012B46</t>
  </si>
  <si>
    <t>D099012B8</t>
  </si>
  <si>
    <t>제주지역개발채권21-08</t>
  </si>
  <si>
    <t>KR2099012B87</t>
  </si>
  <si>
    <t>D099012B9</t>
  </si>
  <si>
    <t>제주지역개발채권21-09</t>
  </si>
  <si>
    <t>KR2099012B95</t>
  </si>
  <si>
    <t>D099012BA</t>
  </si>
  <si>
    <t>제주지역개발채권21-10</t>
  </si>
  <si>
    <t>KR2099012BA4</t>
  </si>
  <si>
    <t>D099012BB</t>
  </si>
  <si>
    <t>제주지역개발채권21-11</t>
  </si>
  <si>
    <t>KR2099012BB2</t>
  </si>
  <si>
    <t>D099012C4</t>
  </si>
  <si>
    <t>제주지역개발채권22-04</t>
  </si>
  <si>
    <t>KR2099012C45</t>
  </si>
  <si>
    <t>D099012C7</t>
  </si>
  <si>
    <t>제주지역개발채권22-07</t>
  </si>
  <si>
    <t>KR2099012C78</t>
  </si>
  <si>
    <t>D099012CB</t>
  </si>
  <si>
    <t>제주지역개발채권22-11</t>
  </si>
  <si>
    <t>KR2099012CB0</t>
  </si>
  <si>
    <t>D099012CC</t>
  </si>
  <si>
    <t>제주지역개발채권22-12</t>
  </si>
  <si>
    <t>KR2099012CC8</t>
  </si>
  <si>
    <t>D099012D1</t>
  </si>
  <si>
    <t>제주지역개발채권23-01</t>
  </si>
  <si>
    <t>KR2099012D10</t>
  </si>
  <si>
    <t>D099012D6</t>
  </si>
  <si>
    <t>제주지역개발채권23-06</t>
  </si>
  <si>
    <t>KR2099012D69</t>
  </si>
  <si>
    <t>D099012D9</t>
  </si>
  <si>
    <t>제주지역개발채권23-09</t>
  </si>
  <si>
    <t>KR2099012D93</t>
  </si>
  <si>
    <t>D099012DA</t>
  </si>
  <si>
    <t>제주지역개발채권23-10</t>
  </si>
  <si>
    <t>KR2099012DA0</t>
  </si>
  <si>
    <t>D099012DC</t>
  </si>
  <si>
    <t>제주지역개발채권23-12</t>
  </si>
  <si>
    <t>KR2099012DC6</t>
  </si>
  <si>
    <t>D099012EA</t>
  </si>
  <si>
    <t>제주지역개발채권24-10</t>
  </si>
  <si>
    <t>KR2099012EA8</t>
  </si>
  <si>
    <t>D099012F1</t>
  </si>
  <si>
    <t>제주지역개발채권25-01</t>
  </si>
  <si>
    <t>KR2099012F18</t>
  </si>
  <si>
    <t>D099012F7</t>
  </si>
  <si>
    <t>제주지역개발채권25-07</t>
  </si>
  <si>
    <t>KR2099012F75</t>
  </si>
  <si>
    <t>D099012F9</t>
  </si>
  <si>
    <t>제주지역개발채권25-09</t>
  </si>
  <si>
    <t>KR2099012F91</t>
  </si>
  <si>
    <t>D099022BC</t>
  </si>
  <si>
    <t>제주지역개발채권21-12</t>
  </si>
  <si>
    <t>KR2099022BC9</t>
  </si>
  <si>
    <t>D099022C6</t>
  </si>
  <si>
    <t>제주지역개발채권22-06</t>
  </si>
  <si>
    <t>KR2099022C68</t>
  </si>
  <si>
    <t>D099022C9</t>
  </si>
  <si>
    <t>제주지역개발채권22-09</t>
  </si>
  <si>
    <t>KR2099022C92</t>
  </si>
  <si>
    <t>D099022D2</t>
  </si>
  <si>
    <t>제주지역개발채권23-02</t>
  </si>
  <si>
    <t>KR2099022D26</t>
  </si>
  <si>
    <t>D099022D4</t>
  </si>
  <si>
    <t>제주지역개발채권23-04</t>
  </si>
  <si>
    <t>KR2099022D42</t>
  </si>
  <si>
    <t>D099022D7</t>
  </si>
  <si>
    <t>제주지역개발채권23-07</t>
  </si>
  <si>
    <t>KR2099022D75</t>
  </si>
  <si>
    <t>D099022DB</t>
  </si>
  <si>
    <t>제주지역개발채권23-11</t>
  </si>
  <si>
    <t>KR2099022DB7</t>
  </si>
  <si>
    <t>D099022E1</t>
  </si>
  <si>
    <t>제주지역개발채권24-01</t>
  </si>
  <si>
    <t>KR2099022E17</t>
  </si>
  <si>
    <t>D099022E2</t>
  </si>
  <si>
    <t>제주지역개발채권24-02</t>
  </si>
  <si>
    <t>KR2099022E25</t>
  </si>
  <si>
    <t>D099022E3</t>
  </si>
  <si>
    <t>제주지역개발채권24-03</t>
  </si>
  <si>
    <t>KR2099022E33</t>
  </si>
  <si>
    <t>D099022E4</t>
  </si>
  <si>
    <t>제주지역개발채권24-04</t>
  </si>
  <si>
    <t>KR2099022E41</t>
  </si>
  <si>
    <t>D099022E5</t>
  </si>
  <si>
    <t>제주지역개발채권24-05</t>
  </si>
  <si>
    <t>KR2099022E58</t>
  </si>
  <si>
    <t>D099022E6</t>
  </si>
  <si>
    <t>제주지역개발채권24-06</t>
  </si>
  <si>
    <t>KR2099022E66</t>
  </si>
  <si>
    <t>D099022E7</t>
  </si>
  <si>
    <t>제주지역개발채권24-07</t>
  </si>
  <si>
    <t>KR2099022E74</t>
  </si>
  <si>
    <t>D099022E9</t>
  </si>
  <si>
    <t>제주지역개발채권24-09</t>
  </si>
  <si>
    <t>KR2099022E90</t>
  </si>
  <si>
    <t>D099022EC</t>
  </si>
  <si>
    <t>제주지역개발채권24-12</t>
  </si>
  <si>
    <t>KR2099022EC3</t>
  </si>
  <si>
    <t>D099022F3</t>
  </si>
  <si>
    <t>제주지역개발채권25-03</t>
  </si>
  <si>
    <t>KR2099022F32</t>
  </si>
  <si>
    <t>D099022F6</t>
  </si>
  <si>
    <t>제주지역개발채권25-06</t>
  </si>
  <si>
    <t>KR2099022F65</t>
  </si>
  <si>
    <t>D099022FB</t>
  </si>
  <si>
    <t>제주지역개발채권25-11</t>
  </si>
  <si>
    <t>KR2099022FB2</t>
  </si>
  <si>
    <t>D099022FC</t>
  </si>
  <si>
    <t>제주지역개발채권25-12</t>
  </si>
  <si>
    <t>KR2099022FC0</t>
  </si>
  <si>
    <t>D099032F5</t>
  </si>
  <si>
    <t>제주지역개발채권25-05</t>
  </si>
  <si>
    <t>KR2099032F55</t>
  </si>
  <si>
    <t>D099032G1</t>
  </si>
  <si>
    <t>제주지역개발채권26-01</t>
  </si>
  <si>
    <t>KR2099032G13</t>
  </si>
  <si>
    <t>D100012B8</t>
  </si>
  <si>
    <t>창원지역개발채권21-08</t>
  </si>
  <si>
    <t>KR2100012B83</t>
  </si>
  <si>
    <t>D100012B9</t>
  </si>
  <si>
    <t>창원지역개발채권21-09</t>
  </si>
  <si>
    <t>KR2100012B91</t>
  </si>
  <si>
    <t>D100012BA</t>
  </si>
  <si>
    <t>창원지역개발채권21-10</t>
  </si>
  <si>
    <t>KR2100012BA1</t>
  </si>
  <si>
    <t>D100012C2</t>
  </si>
  <si>
    <t>창원지역개발채권22-02</t>
  </si>
  <si>
    <t>KR2100012C25</t>
  </si>
  <si>
    <t>D100012C4</t>
  </si>
  <si>
    <t>창원지역개발채권22-04</t>
  </si>
  <si>
    <t>KR2100012C41</t>
  </si>
  <si>
    <t>D100012C5</t>
  </si>
  <si>
    <t>창원지역개발채권22-05</t>
  </si>
  <si>
    <t>KR2100012C58</t>
  </si>
  <si>
    <t>D100012C6</t>
  </si>
  <si>
    <t>창원지역개발채권22-06</t>
  </si>
  <si>
    <t>KR2100012C66</t>
  </si>
  <si>
    <t>D100012CA</t>
  </si>
  <si>
    <t>창원지역개발채권22-10</t>
  </si>
  <si>
    <t>KR2100012CA9</t>
  </si>
  <si>
    <t>D100012CC</t>
  </si>
  <si>
    <t>창원지역개발채권22-12</t>
  </si>
  <si>
    <t>KR2100012CC5</t>
  </si>
  <si>
    <t>D100012D2</t>
  </si>
  <si>
    <t>창원지역개발채권23-02</t>
  </si>
  <si>
    <t>KR2100012D24</t>
  </si>
  <si>
    <t>D100012D3</t>
  </si>
  <si>
    <t>창원지역개발채권23-03</t>
  </si>
  <si>
    <t>KR2100012D32</t>
  </si>
  <si>
    <t>D100012D5</t>
  </si>
  <si>
    <t>창원지역개발채권23-05</t>
  </si>
  <si>
    <t>KR2100012D57</t>
  </si>
  <si>
    <t>D100012D6</t>
  </si>
  <si>
    <t>창원지역개발채권23-06</t>
  </si>
  <si>
    <t>KR2100012D65</t>
  </si>
  <si>
    <t>D100012D7</t>
  </si>
  <si>
    <t>창원지역개발채권23-07</t>
  </si>
  <si>
    <t>KR2100012D73</t>
  </si>
  <si>
    <t>D100012D8</t>
  </si>
  <si>
    <t>창원지역개발채권23-08</t>
  </si>
  <si>
    <t>KR2100012D81</t>
  </si>
  <si>
    <t>D100012DA</t>
  </si>
  <si>
    <t>창원지역개발채권23-10</t>
  </si>
  <si>
    <t>KR2100012DA7</t>
  </si>
  <si>
    <t>D100012DB</t>
  </si>
  <si>
    <t>창원지역개발채권23-11</t>
  </si>
  <si>
    <t>KR2100012DB5</t>
  </si>
  <si>
    <t>D100012DC</t>
  </si>
  <si>
    <t>창원지역개발채권23-12</t>
  </si>
  <si>
    <t>KR2100012DC3</t>
  </si>
  <si>
    <t>D100012E1</t>
  </si>
  <si>
    <t>창원지역개발채권24-01</t>
  </si>
  <si>
    <t>KR2100012E15</t>
  </si>
  <si>
    <t>D100012E2</t>
  </si>
  <si>
    <t>창원지역개발채권24-02</t>
  </si>
  <si>
    <t>KR2100012E23</t>
  </si>
  <si>
    <t>D100012E3</t>
  </si>
  <si>
    <t>창원지역개발채권24-03</t>
  </si>
  <si>
    <t>KR2100012E31</t>
  </si>
  <si>
    <t>D100012E4</t>
  </si>
  <si>
    <t>창원지역개발채권24-04</t>
  </si>
  <si>
    <t>KR2100012E49</t>
  </si>
  <si>
    <t>D100012E6</t>
  </si>
  <si>
    <t>창원지역개발채권24-06</t>
  </si>
  <si>
    <t>KR2100012E64</t>
  </si>
  <si>
    <t>D100012E7</t>
  </si>
  <si>
    <t>창원지역개발채권24-07</t>
  </si>
  <si>
    <t>KR2100012E72</t>
  </si>
  <si>
    <t>D100012E8</t>
  </si>
  <si>
    <t>창원지역개발채권24-08</t>
  </si>
  <si>
    <t>KR2100012E80</t>
  </si>
  <si>
    <t>D100012E9</t>
  </si>
  <si>
    <t>창원지역개발채권24-09</t>
  </si>
  <si>
    <t>KR2100012E98</t>
  </si>
  <si>
    <t>D100012EA</t>
  </si>
  <si>
    <t>창원지역개발채권24-10</t>
  </si>
  <si>
    <t>KR2100012EA5</t>
  </si>
  <si>
    <t>D100012EC</t>
  </si>
  <si>
    <t>창원지역개발채권24-12</t>
  </si>
  <si>
    <t>KR2100012EC1</t>
  </si>
  <si>
    <t>D100012F1</t>
  </si>
  <si>
    <t>창원지역개발채권25-01</t>
  </si>
  <si>
    <t>KR2100012F14</t>
  </si>
  <si>
    <t>D100012F3</t>
  </si>
  <si>
    <t>창원지역개발채권25-03</t>
  </si>
  <si>
    <t>KR2100012F30</t>
  </si>
  <si>
    <t>D100012F4</t>
  </si>
  <si>
    <t>창원지역개발채권25-04</t>
  </si>
  <si>
    <t>KR2100012F48</t>
  </si>
  <si>
    <t>D100012F5</t>
  </si>
  <si>
    <t>창원지역개발채권25-05</t>
  </si>
  <si>
    <t>KR2100012F55</t>
  </si>
  <si>
    <t>D100012F6</t>
  </si>
  <si>
    <t>창원지역개발채권25-06</t>
  </si>
  <si>
    <t>KR2100012F63</t>
  </si>
  <si>
    <t>D100012F7</t>
  </si>
  <si>
    <t>창원지역개발채권25-07</t>
  </si>
  <si>
    <t>KR2100012F71</t>
  </si>
  <si>
    <t>D100012F9</t>
  </si>
  <si>
    <t>창원지역개발채권25-09</t>
  </si>
  <si>
    <t>KR2100012F97</t>
  </si>
  <si>
    <t>D100012FC</t>
  </si>
  <si>
    <t>창원지역개발채권25-12</t>
  </si>
  <si>
    <t>KR2100012FC8</t>
  </si>
  <si>
    <t>D100012G1</t>
  </si>
  <si>
    <t>창원지역개발채권26-01</t>
  </si>
  <si>
    <t>KR2100012G13</t>
  </si>
  <si>
    <t>D100012G2</t>
  </si>
  <si>
    <t>창원지역개발채권26-02</t>
  </si>
  <si>
    <t>KR2100012G21</t>
  </si>
  <si>
    <t>D101012B7</t>
  </si>
  <si>
    <t>세종지역개발채권21-07</t>
  </si>
  <si>
    <t>KR2101012B73</t>
  </si>
  <si>
    <t>D101012B8</t>
  </si>
  <si>
    <t>세종지역개발채권21-08</t>
  </si>
  <si>
    <t>KR2101012B81</t>
  </si>
  <si>
    <t>D101012BA</t>
  </si>
  <si>
    <t>세종지역개발채권21-10</t>
  </si>
  <si>
    <t>KR2101012BA0</t>
  </si>
  <si>
    <t>D101012BB</t>
  </si>
  <si>
    <t>세종지역개발채권21-11</t>
  </si>
  <si>
    <t>KR2101012BB8</t>
  </si>
  <si>
    <t>D101012C1</t>
  </si>
  <si>
    <t>세종지역개발채권22-01</t>
  </si>
  <si>
    <t>KR2101012C15</t>
  </si>
  <si>
    <t>D101012C3</t>
  </si>
  <si>
    <t>세종지역개발채권22-03</t>
  </si>
  <si>
    <t>KR2101012C31</t>
  </si>
  <si>
    <t>D101012C4</t>
  </si>
  <si>
    <t>세종지역개발채권22-04</t>
  </si>
  <si>
    <t>KR2101012C49</t>
  </si>
  <si>
    <t>D101012C6</t>
  </si>
  <si>
    <t>세종지역개발채권22-06</t>
  </si>
  <si>
    <t>KR2101012C64</t>
  </si>
  <si>
    <t>D101012C7</t>
  </si>
  <si>
    <t>세종지역개발채권22-07</t>
  </si>
  <si>
    <t>KR2101012C72</t>
  </si>
  <si>
    <t>D101012C8</t>
  </si>
  <si>
    <t>세종지역개발채권22-08</t>
  </si>
  <si>
    <t>KR2101012C80</t>
  </si>
  <si>
    <t>D101012CA</t>
  </si>
  <si>
    <t>세종지역개발채권22-10</t>
  </si>
  <si>
    <t>KR2101012CA8</t>
  </si>
  <si>
    <t>D101012CC</t>
  </si>
  <si>
    <t>세종지역개발채권22-12</t>
  </si>
  <si>
    <t>KR2101012CC4</t>
  </si>
  <si>
    <t>D101012D1</t>
  </si>
  <si>
    <t>세종지역개발채권23-01</t>
  </si>
  <si>
    <t>KR2101012D14</t>
  </si>
  <si>
    <t>D101012D2</t>
  </si>
  <si>
    <t>세종지역개발채권23-02</t>
  </si>
  <si>
    <t>KR2101012D22</t>
  </si>
  <si>
    <t>D101012D3</t>
  </si>
  <si>
    <t>세종지역개발채권23-03</t>
  </si>
  <si>
    <t>KR2101012D30</t>
  </si>
  <si>
    <t>D101012D4</t>
  </si>
  <si>
    <t>세종지역개발채권23-04</t>
  </si>
  <si>
    <t>KR2101012D48</t>
  </si>
  <si>
    <t>D101012D6</t>
  </si>
  <si>
    <t>세종지역개발채권23-06</t>
  </si>
  <si>
    <t>KR2101012D63</t>
  </si>
  <si>
    <t>D101012D7</t>
  </si>
  <si>
    <t>세종지역개발채권23-07</t>
  </si>
  <si>
    <t>KR2101012D71</t>
  </si>
  <si>
    <t>D101012D8</t>
  </si>
  <si>
    <t>세종지역개발채권23-08</t>
  </si>
  <si>
    <t>KR2101012D89</t>
  </si>
  <si>
    <t>D101012DA</t>
  </si>
  <si>
    <t>세종지역개발채권23-10</t>
  </si>
  <si>
    <t>KR2101012DA6</t>
  </si>
  <si>
    <t>D101012DB</t>
  </si>
  <si>
    <t>세종지역개발채권23-11</t>
  </si>
  <si>
    <t>KR2101012DB4</t>
  </si>
  <si>
    <t>D101012DC</t>
  </si>
  <si>
    <t>세종지역개발채권23-12</t>
  </si>
  <si>
    <t>KR2101012DC2</t>
  </si>
  <si>
    <t>D101012E1</t>
  </si>
  <si>
    <t>세종지역개발채권24-01</t>
  </si>
  <si>
    <t>KR2101012E13</t>
  </si>
  <si>
    <t>D101012E5</t>
  </si>
  <si>
    <t>세종지역개발채권24-05</t>
  </si>
  <si>
    <t>KR2101012E54</t>
  </si>
  <si>
    <t>D101012E6</t>
  </si>
  <si>
    <t>세종지역개발채권24-06</t>
  </si>
  <si>
    <t>KR2101012E62</t>
  </si>
  <si>
    <t>D101012E7</t>
  </si>
  <si>
    <t>세종지역개발채권24-07</t>
  </si>
  <si>
    <t>KR2101012E70</t>
  </si>
  <si>
    <t>D101012E9</t>
  </si>
  <si>
    <t>세종지역개발채권24-09</t>
  </si>
  <si>
    <t>KR2101012E96</t>
  </si>
  <si>
    <t>D101012EA</t>
  </si>
  <si>
    <t>세종지역개발채권24-10</t>
  </si>
  <si>
    <t>KR2101012EA4</t>
  </si>
  <si>
    <t>D101012EC</t>
  </si>
  <si>
    <t>세종지역개발채권24-12</t>
  </si>
  <si>
    <t>KR2101012EC0</t>
  </si>
  <si>
    <t>D101012F1</t>
  </si>
  <si>
    <t>세종지역개발채권25-01</t>
  </si>
  <si>
    <t>KR2101012F12</t>
  </si>
  <si>
    <t>D101012F3</t>
  </si>
  <si>
    <t>세종지역개발채권25-03</t>
  </si>
  <si>
    <t>KR2101012F38</t>
  </si>
  <si>
    <t>D101012F4</t>
  </si>
  <si>
    <t>세종지역개발채권25-04</t>
  </si>
  <si>
    <t>KR2101012F46</t>
  </si>
  <si>
    <t>D101012F5</t>
  </si>
  <si>
    <t>세종지역개발채권25-05</t>
  </si>
  <si>
    <t>KR2101012F53</t>
  </si>
  <si>
    <t>D101012F7</t>
  </si>
  <si>
    <t>세종지역개발채권25-07</t>
  </si>
  <si>
    <t>KR2101012F79</t>
  </si>
  <si>
    <t>D101012G1</t>
  </si>
  <si>
    <t>세종지역개발채권26-01</t>
  </si>
  <si>
    <t>KR2101012G11</t>
  </si>
  <si>
    <t>D101012G2</t>
  </si>
  <si>
    <t>세종지역개발채권26-02</t>
  </si>
  <si>
    <t>KR2101012G29</t>
  </si>
  <si>
    <t>D101012G4</t>
  </si>
  <si>
    <t>세종지역개발채권26-04</t>
  </si>
  <si>
    <t>KR2101012G45</t>
  </si>
  <si>
    <t>C03502GB3</t>
  </si>
  <si>
    <t>국고채권01875-5103(21-2)</t>
  </si>
  <si>
    <t>KR103502GB33</t>
  </si>
  <si>
    <t>금융채</t>
  </si>
  <si>
    <t>B000011E9</t>
  </si>
  <si>
    <t>신한은행28-09-이-2-A</t>
  </si>
  <si>
    <t>AAA</t>
  </si>
  <si>
    <t>KR6000011E97</t>
  </si>
  <si>
    <t>공모채간접발행</t>
  </si>
  <si>
    <t>B000011EB</t>
  </si>
  <si>
    <t>신한은행28-11-이-2-A</t>
  </si>
  <si>
    <t>KR6000011EB7</t>
  </si>
  <si>
    <t>B000013F4</t>
  </si>
  <si>
    <t>신한은행29-04-이-1-B</t>
  </si>
  <si>
    <t>KR6000013F45</t>
  </si>
  <si>
    <t>B000018E8</t>
  </si>
  <si>
    <t>신한은행28-08-이-2-A</t>
  </si>
  <si>
    <t>KR6000018E82</t>
  </si>
  <si>
    <t>B000018E9</t>
  </si>
  <si>
    <t>신한은행28-09-이-2-C</t>
  </si>
  <si>
    <t>KR6000018E90</t>
  </si>
  <si>
    <t>B000019EB</t>
  </si>
  <si>
    <t>신한은행28-11-이-2-C</t>
  </si>
  <si>
    <t>KR6000019EB0</t>
  </si>
  <si>
    <t>B000031EB</t>
  </si>
  <si>
    <t>우리은행28-11-이표02-갑-11</t>
  </si>
  <si>
    <t>KR6000031EB5</t>
  </si>
  <si>
    <t>B000034E8</t>
  </si>
  <si>
    <t>우리은행28-08-이표02-갑-22</t>
  </si>
  <si>
    <t>KR6000034E82</t>
  </si>
  <si>
    <t>B000038EA</t>
  </si>
  <si>
    <t>우리은행28-10-이표1.5-갑-25</t>
  </si>
  <si>
    <t>KR6000038EA2</t>
  </si>
  <si>
    <t>B004941E5</t>
  </si>
  <si>
    <t>하나은행47-05-이2갑-02</t>
  </si>
  <si>
    <t>KR6004941E52</t>
  </si>
  <si>
    <t>B004941F5</t>
  </si>
  <si>
    <t>하나은행48-05이1.5갑-02</t>
  </si>
  <si>
    <t>KR6004941F51</t>
  </si>
  <si>
    <t>B004941F6</t>
  </si>
  <si>
    <t>하나은행48-06이1.5갑-02</t>
  </si>
  <si>
    <t>KR6004941F69</t>
  </si>
  <si>
    <t>B004946E7</t>
  </si>
  <si>
    <t>하나은행47-07이2갑-24</t>
  </si>
  <si>
    <t>KR6004946E73</t>
  </si>
  <si>
    <t>B004948D8</t>
  </si>
  <si>
    <t>하나은행46-08이3갑-28</t>
  </si>
  <si>
    <t>KR6004948D80</t>
  </si>
  <si>
    <t>B060002F6</t>
  </si>
  <si>
    <t>국민은행4506이표일(03)1.5-12</t>
  </si>
  <si>
    <t>KR6060002F67</t>
  </si>
  <si>
    <t>B060005F9</t>
  </si>
  <si>
    <t>국민은행4509이표일(01)14M-25</t>
  </si>
  <si>
    <t>KR6060005F98</t>
  </si>
  <si>
    <t>B060006EA</t>
  </si>
  <si>
    <t>국민은행4410이표일(03)2-25</t>
  </si>
  <si>
    <t>KR6060006EA6</t>
  </si>
  <si>
    <t>B060006EB</t>
  </si>
  <si>
    <t>국민은행4411이표일(03)2-28</t>
  </si>
  <si>
    <t>KR6060006EB4</t>
  </si>
  <si>
    <t>C03501GF6</t>
  </si>
  <si>
    <t>국고채권02250-2806(25-4)</t>
  </si>
  <si>
    <t>KR103501GF63</t>
  </si>
  <si>
    <t>E10201GEC</t>
  </si>
  <si>
    <t>산업금융채권24신이0200-1202-2</t>
  </si>
  <si>
    <t>특수채</t>
  </si>
  <si>
    <t>KR310201GEC2</t>
  </si>
  <si>
    <t>E10202GEB</t>
  </si>
  <si>
    <t>산업금융채권24신이0106-1104-1</t>
  </si>
  <si>
    <t>KR310202GEB2</t>
  </si>
  <si>
    <t>E10204GEC</t>
  </si>
  <si>
    <t>산업금융채권24신이0200-1209-1</t>
  </si>
  <si>
    <t>KR310204GEC6</t>
  </si>
  <si>
    <t>E10206GE7</t>
  </si>
  <si>
    <t>산업금융채권24신이0200-0716-1</t>
  </si>
  <si>
    <t>KR310206GE71</t>
  </si>
  <si>
    <t>E10208GD7</t>
  </si>
  <si>
    <t>산업금융채권23신이0300-0725-1</t>
  </si>
  <si>
    <t>KR310208GD70</t>
  </si>
  <si>
    <t>E10210GD8</t>
  </si>
  <si>
    <t>산업금융채권23신이0300-0822-2</t>
  </si>
  <si>
    <t>KR310210GD84</t>
  </si>
  <si>
    <t>E10211GB6</t>
  </si>
  <si>
    <t>산업금융채권21신이0500-0614-3</t>
  </si>
  <si>
    <t>KR310211GB69</t>
  </si>
  <si>
    <t>E10212GE7</t>
  </si>
  <si>
    <t>산업금융채권24신이0200-0723-1</t>
  </si>
  <si>
    <t>KR310212GE73</t>
  </si>
  <si>
    <t>E10212GEB</t>
  </si>
  <si>
    <t>산업금융채권24신이0200-1115-3</t>
  </si>
  <si>
    <t>KR310212GEB1</t>
  </si>
  <si>
    <t>E10213GE7</t>
  </si>
  <si>
    <t>산업금융채권24신이0206-0724-1</t>
  </si>
  <si>
    <t>KR310213GE72</t>
  </si>
  <si>
    <t>E10213GEB</t>
  </si>
  <si>
    <t>산업금융채권24신이0200-1118-1</t>
  </si>
  <si>
    <t>KR310213GEB9</t>
  </si>
  <si>
    <t>E10216GEB</t>
  </si>
  <si>
    <t>산업금융채권24신이0200-1121-1</t>
  </si>
  <si>
    <t>KR310216GEB2</t>
  </si>
  <si>
    <t>E10502GEC</t>
  </si>
  <si>
    <t>중소기업은행(신)2412이2A-06</t>
  </si>
  <si>
    <t>KR310502GEC3</t>
  </si>
  <si>
    <t>E10503AFA</t>
  </si>
  <si>
    <t>중소기업은행(신)2510할1A-16</t>
  </si>
  <si>
    <t>KR310503AFA5</t>
  </si>
  <si>
    <t>E10503GD9</t>
  </si>
  <si>
    <t>중소기업은행(신)2309이3A-07</t>
  </si>
  <si>
    <t>KR310503GD98</t>
  </si>
  <si>
    <t>E10503GE8</t>
  </si>
  <si>
    <t>중소기업은행(신)2408이2A-14(사)</t>
  </si>
  <si>
    <t>사회적채권</t>
  </si>
  <si>
    <t>KR310503GE89</t>
  </si>
  <si>
    <t>E10504AFA</t>
  </si>
  <si>
    <t>중소기업은행(신)2510할1A-17</t>
  </si>
  <si>
    <t>KR310504AFA3</t>
  </si>
  <si>
    <t>E10504GE6</t>
  </si>
  <si>
    <t>중소기업은행(신)2406이2A-17</t>
  </si>
  <si>
    <t>KR310504GE62</t>
  </si>
  <si>
    <t>E10507GE7</t>
  </si>
  <si>
    <t>중소기업은행(신)2407이2A-29</t>
  </si>
  <si>
    <t>KR310507GE77</t>
  </si>
  <si>
    <t>E10507GEC</t>
  </si>
  <si>
    <t>중소기업은행(신)2412이2A-18</t>
  </si>
  <si>
    <t>KR310507GEC2</t>
  </si>
  <si>
    <t>E10508GE9</t>
  </si>
  <si>
    <t>중소기업은행(신)2409이2A-05</t>
  </si>
  <si>
    <t>KR310508GE92</t>
  </si>
  <si>
    <t>E10509GEA</t>
  </si>
  <si>
    <t>중소기업은행(신)2410이2A-18</t>
  </si>
  <si>
    <t>KR310509GEA2</t>
  </si>
  <si>
    <t>E10509GEB</t>
  </si>
  <si>
    <t>중소기업은행(신)2411이2A-12</t>
  </si>
  <si>
    <t>KR310509GEB0</t>
  </si>
  <si>
    <t>E10518GEB</t>
  </si>
  <si>
    <t>중소기업은행(신)2411이2A-19</t>
  </si>
  <si>
    <t>KR310518GEB1</t>
  </si>
  <si>
    <t>E10519GEB</t>
  </si>
  <si>
    <t>중소기업은행(신)2411이1.5A-19</t>
  </si>
  <si>
    <t>KR310519GEB9</t>
  </si>
  <si>
    <t>E10523GEB</t>
  </si>
  <si>
    <t>중소기업은행(신)2411이1.5A-22</t>
  </si>
  <si>
    <t>KR310523GEB1</t>
  </si>
  <si>
    <t>E10526GEB</t>
  </si>
  <si>
    <t>중소기업은행(신)2411이2A-25</t>
  </si>
  <si>
    <t>KR310526GEB4</t>
  </si>
  <si>
    <t>E50110GEA</t>
  </si>
  <si>
    <t>한국전력공사채권1433</t>
  </si>
  <si>
    <t>KR350110GEA0</t>
  </si>
  <si>
    <t>E80801GD7</t>
  </si>
  <si>
    <t>한국수출입금융2307가-이표-3</t>
  </si>
  <si>
    <t>KR380801GD74</t>
  </si>
  <si>
    <t>E80802GEB</t>
  </si>
  <si>
    <t>한국수출입금융2411마-이표-2</t>
  </si>
  <si>
    <t>KR380802GEB4</t>
  </si>
  <si>
    <t>E80807GEA</t>
  </si>
  <si>
    <t>한국수출입금융2410사-이표-2</t>
  </si>
  <si>
    <t>KR380807GEA5</t>
  </si>
  <si>
    <t>E81003GEB</t>
  </si>
  <si>
    <t>농업금융채권(은행)2024-11이2Y-B</t>
  </si>
  <si>
    <t>KR381003GEB8</t>
  </si>
  <si>
    <t>E81004GDA</t>
  </si>
  <si>
    <t>농업금융채권(은행)2023-10이3Y-D</t>
  </si>
  <si>
    <t>KR381004GDA0</t>
  </si>
  <si>
    <t>E81005GD5</t>
  </si>
  <si>
    <t>농업금융채권(은행)2023-05이3Y-E</t>
  </si>
  <si>
    <t>KR381005GD50</t>
  </si>
  <si>
    <t>E81101GEB</t>
  </si>
  <si>
    <t>농업금융채권(중앙회)2024-11이2Y-A</t>
  </si>
  <si>
    <t>KR381101GEB0</t>
  </si>
  <si>
    <t>E81103GEA</t>
  </si>
  <si>
    <t>농업금융채권(중앙회)2024-10이2Y-C</t>
  </si>
  <si>
    <t>KR381103GEA8</t>
  </si>
  <si>
    <t>B000012F6</t>
  </si>
  <si>
    <t>신한은행29-06-이-1-A</t>
  </si>
  <si>
    <t>KR6000012F61</t>
  </si>
  <si>
    <t>B000014E7</t>
  </si>
  <si>
    <t>신한은행28-07-이-2-A(녹)</t>
  </si>
  <si>
    <t>녹색채권</t>
  </si>
  <si>
    <t>KR6000014E78</t>
  </si>
  <si>
    <t>B000016F8</t>
  </si>
  <si>
    <t>신한은행29-08-이-1.25-B</t>
  </si>
  <si>
    <t>KR6000016F83</t>
  </si>
  <si>
    <t>B000016FA</t>
  </si>
  <si>
    <t>신한은행29-10-할-6M-A</t>
  </si>
  <si>
    <t>KR6000016FA5</t>
  </si>
  <si>
    <t>B000017EB</t>
  </si>
  <si>
    <t>신한은행28-11-이-1.5-C</t>
  </si>
  <si>
    <t>KR6000017EB4</t>
  </si>
  <si>
    <t>B000018F9</t>
  </si>
  <si>
    <t>신한은행29-09-이-1-B</t>
  </si>
  <si>
    <t>KR6000018F99</t>
  </si>
  <si>
    <t>B00001EE9</t>
  </si>
  <si>
    <t>신한은행28-09-이-2.25-A</t>
  </si>
  <si>
    <t>KR600001EE90</t>
  </si>
  <si>
    <t>B000031F6</t>
  </si>
  <si>
    <t>우리은행29-06-이표1.5-갑-19</t>
  </si>
  <si>
    <t>KR6000031F68</t>
  </si>
  <si>
    <t>B000033EA</t>
  </si>
  <si>
    <t>우리은행28-10-이표1.5-갑-18</t>
  </si>
  <si>
    <t>KR6000033EA3</t>
  </si>
  <si>
    <t>B000038EB</t>
  </si>
  <si>
    <t>우리은행28-11-이표02-갑-29</t>
  </si>
  <si>
    <t>KR6000038EB0</t>
  </si>
  <si>
    <t>B000039D9</t>
  </si>
  <si>
    <t>우리은행27-09-이표03-갑-14</t>
  </si>
  <si>
    <t>KR6000039D96</t>
  </si>
  <si>
    <t>B004947G2</t>
  </si>
  <si>
    <t>하나은행49-02이1갑-25</t>
  </si>
  <si>
    <t>KR6004947G21</t>
  </si>
  <si>
    <t>B060002F4</t>
  </si>
  <si>
    <t>국민은행4504할인일1-14</t>
  </si>
  <si>
    <t>KR6060002F42</t>
  </si>
  <si>
    <t>B060003F8</t>
  </si>
  <si>
    <t>국민은행4508할인일10M-11</t>
  </si>
  <si>
    <t>KR6060003F82</t>
  </si>
  <si>
    <t>B065904G3</t>
  </si>
  <si>
    <t>현대카드955-4</t>
  </si>
  <si>
    <t>AA+</t>
  </si>
  <si>
    <t>KR6065904G31</t>
  </si>
  <si>
    <t>C03501GF3</t>
  </si>
  <si>
    <t>국고채권02625-2703(25-1)</t>
  </si>
  <si>
    <t>KR103501GF30</t>
  </si>
  <si>
    <t>통안채</t>
  </si>
  <si>
    <t>E10101GF1</t>
  </si>
  <si>
    <t>통화안정증권02700-2701-02</t>
  </si>
  <si>
    <t>KR310101GF19</t>
  </si>
  <si>
    <t>E10102GE3</t>
  </si>
  <si>
    <t>통화안정증권03430-2703-03</t>
  </si>
  <si>
    <t>KR310102GE35</t>
  </si>
  <si>
    <t>E10201AG1</t>
  </si>
  <si>
    <t>산업금융채권26신할0100-0113-1</t>
  </si>
  <si>
    <t>KR310201AG13</t>
  </si>
  <si>
    <t>E10204GE9</t>
  </si>
  <si>
    <t>산업금융채권24신이0200-0903-3</t>
  </si>
  <si>
    <t>KR310204GE99</t>
  </si>
  <si>
    <t>E10206GD9</t>
  </si>
  <si>
    <t>산업금융채권23신이0300-0908-1</t>
  </si>
  <si>
    <t>KR310206GD98</t>
  </si>
  <si>
    <t>E10208GD4</t>
  </si>
  <si>
    <t>산업금융채권23신이0300-0426-1</t>
  </si>
  <si>
    <t>KR310208GD47</t>
  </si>
  <si>
    <t>E10209GD8</t>
  </si>
  <si>
    <t>산업금융채권23신이0300-0818-2</t>
  </si>
  <si>
    <t>KR310209GD87</t>
  </si>
  <si>
    <t>E10210GEC</t>
  </si>
  <si>
    <t>산업금융채권24신이0200-1220-2</t>
  </si>
  <si>
    <t>KR310210GEC3</t>
  </si>
  <si>
    <t>E10502AG3</t>
  </si>
  <si>
    <t>중소기업은행(단)2603할337A-13</t>
  </si>
  <si>
    <t>KR310502AG35</t>
  </si>
  <si>
    <t>E10505AG2</t>
  </si>
  <si>
    <t>중소기업은행(신)2602할1A-12</t>
  </si>
  <si>
    <t>KR310505AG24</t>
  </si>
  <si>
    <t>E10507AF6</t>
  </si>
  <si>
    <t>중소기업은행(신)2506할1A-23</t>
  </si>
  <si>
    <t>KR310507AF64</t>
  </si>
  <si>
    <t>E10508GEA</t>
  </si>
  <si>
    <t>중소기업은행(신)2410이1.5A-17</t>
  </si>
  <si>
    <t>KR310508GEA4</t>
  </si>
  <si>
    <t>E10509AF4</t>
  </si>
  <si>
    <t>중소기업은행(신)2504할1A-24</t>
  </si>
  <si>
    <t>KR310509AF47</t>
  </si>
  <si>
    <t>E10509GE8</t>
  </si>
  <si>
    <t>중소기업은행(신)2408이2A-21(사)</t>
  </si>
  <si>
    <t>KR310509GE83</t>
  </si>
  <si>
    <t>E50101GEA</t>
  </si>
  <si>
    <t>한국전력공사채권1424</t>
  </si>
  <si>
    <t>KR350101GEA9</t>
  </si>
  <si>
    <t>E50107GEC</t>
  </si>
  <si>
    <t>한국전력공사채권1448</t>
  </si>
  <si>
    <t>KR350107GEC2</t>
  </si>
  <si>
    <t>E54403GG4</t>
  </si>
  <si>
    <t>한국주택금융공사 MBS 2026-6(1-1)(사)</t>
  </si>
  <si>
    <t>KR354403GG45</t>
  </si>
  <si>
    <t>E80801AFA</t>
  </si>
  <si>
    <t>한국수출입금융2510가-할인-1</t>
  </si>
  <si>
    <t>KR380801AFA8</t>
  </si>
  <si>
    <t>E81001GE5</t>
  </si>
  <si>
    <t>농업금융채권(은행)2024-05이2Y-A</t>
  </si>
  <si>
    <t>KR381001GE53</t>
  </si>
  <si>
    <t>E10101GEA</t>
  </si>
  <si>
    <t>통화안정증권02800-2610-02</t>
  </si>
  <si>
    <t>KR310101GEA8</t>
  </si>
  <si>
    <t>E10101GF7</t>
  </si>
  <si>
    <t>통화안정증권02400-2707-02</t>
  </si>
  <si>
    <t>KR310101GF76</t>
  </si>
  <si>
    <t>B000019EA</t>
  </si>
  <si>
    <t>신한은행28-10-이-3-B</t>
  </si>
  <si>
    <t>KR6000019EA2</t>
  </si>
  <si>
    <t>B000032F8</t>
  </si>
  <si>
    <t>우리은행29-08-이1.5-갑25(지)</t>
  </si>
  <si>
    <t>지속가능채권</t>
  </si>
  <si>
    <t>KR6000032F83</t>
  </si>
  <si>
    <t>B000032FA</t>
  </si>
  <si>
    <t>우리은행29-10-이표02-갑-17</t>
  </si>
  <si>
    <t>KR6000032FA2</t>
  </si>
  <si>
    <t>B000037EA</t>
  </si>
  <si>
    <t>우리은행28-10-이표2.5-갑-24</t>
  </si>
  <si>
    <t>KR6000037EA4</t>
  </si>
  <si>
    <t>B004944F3</t>
  </si>
  <si>
    <t>하나은행48-03이3갑-17</t>
  </si>
  <si>
    <t>KR6004944F33</t>
  </si>
  <si>
    <t>B004946F7</t>
  </si>
  <si>
    <t>하나은행48-07이2갑-17</t>
  </si>
  <si>
    <t>KR6004946F72</t>
  </si>
  <si>
    <t>B060006F9</t>
  </si>
  <si>
    <t>국민은행4509이표일(03)1.5-26</t>
  </si>
  <si>
    <t>KR6060006F97</t>
  </si>
  <si>
    <t>B000014EB</t>
  </si>
  <si>
    <t>신한은행28-11-이-1.5-B</t>
  </si>
  <si>
    <t>KR6000014EB1</t>
  </si>
  <si>
    <t>B060006F7</t>
  </si>
  <si>
    <t>국민은행4507할인일10M-30</t>
  </si>
  <si>
    <t>KR6060006F71</t>
  </si>
  <si>
    <t>E10206GEB</t>
  </si>
  <si>
    <t>산업금융채권24신이0200-1112-2</t>
  </si>
  <si>
    <t>KR310206GEB3</t>
  </si>
  <si>
    <t>E10209GE4</t>
  </si>
  <si>
    <t>산업금융채권24신이0200-0429-4</t>
  </si>
  <si>
    <t>KR310209GE45</t>
  </si>
  <si>
    <t>E10511GEA</t>
  </si>
  <si>
    <t>중소기업은행(신)2410이1.5A-21</t>
  </si>
  <si>
    <t>KR310511GEA8</t>
  </si>
  <si>
    <t>명목잔액</t>
  </si>
  <si>
    <t>미수이자</t>
  </si>
  <si>
    <t>자산/부채</t>
  </si>
  <si>
    <t>KRW</t>
  </si>
  <si>
    <t>USD</t>
  </si>
  <si>
    <t>기관구분</t>
  </si>
  <si>
    <t>펀드</t>
  </si>
  <si>
    <t>펀드명</t>
  </si>
  <si>
    <t>통화</t>
  </si>
  <si>
    <t>적용환율</t>
  </si>
  <si>
    <t>수익율</t>
  </si>
  <si>
    <t>외화장부단가</t>
  </si>
  <si>
    <t>외화장부금액</t>
  </si>
  <si>
    <t>원화장부금액</t>
  </si>
  <si>
    <t>외화평가단가</t>
  </si>
  <si>
    <t>외화평가금액</t>
  </si>
  <si>
    <t>원화평가금액</t>
  </si>
  <si>
    <t>외화평가손익</t>
  </si>
  <si>
    <t>원화평가손익</t>
  </si>
  <si>
    <t>외화환산손익</t>
  </si>
  <si>
    <t>원화손익합계</t>
  </si>
  <si>
    <t>외화전체이자</t>
  </si>
  <si>
    <t>원화전체이자</t>
  </si>
  <si>
    <t>외화당기채권이자</t>
  </si>
  <si>
    <t>원화당기채권이자</t>
  </si>
  <si>
    <t>외화미수이자</t>
  </si>
  <si>
    <t>원화미수이자</t>
  </si>
  <si>
    <t>미수이자환차손익</t>
  </si>
  <si>
    <t>외화경과이자</t>
  </si>
  <si>
    <t>원화경과이자</t>
  </si>
  <si>
    <t>경과이자환차손익</t>
  </si>
  <si>
    <t>발행기관코드</t>
  </si>
  <si>
    <t>발행기관명</t>
  </si>
  <si>
    <t>국가코드</t>
  </si>
  <si>
    <t>국가명</t>
  </si>
  <si>
    <t>'01 평균</t>
  </si>
  <si>
    <t>외화RP펀드</t>
  </si>
  <si>
    <t>US500630DF23</t>
  </si>
  <si>
    <t>KDB 0.4 06/19/24</t>
  </si>
  <si>
    <t>B312094</t>
  </si>
  <si>
    <t>한국산업은행</t>
  </si>
  <si>
    <t>대한민국</t>
  </si>
  <si>
    <t>US65540KAF21</t>
  </si>
  <si>
    <t>NACF 0 7/8 07/28/24</t>
  </si>
  <si>
    <t>R082974</t>
  </si>
  <si>
    <t>농협은행</t>
  </si>
  <si>
    <t>D004022G3</t>
  </si>
  <si>
    <t>인천지역개발채권26-03</t>
  </si>
  <si>
    <t>KR2004022G31</t>
  </si>
  <si>
    <t>D007032G3</t>
  </si>
  <si>
    <t>대구지역개발채권26-03</t>
  </si>
  <si>
    <t>KR2007032G32</t>
  </si>
  <si>
    <t>D008012G3</t>
  </si>
  <si>
    <t>울산지역개발채권26-03</t>
  </si>
  <si>
    <t>KR2008012G34</t>
  </si>
  <si>
    <t>D044022G3</t>
  </si>
  <si>
    <t>경기지역개발채권26-03</t>
  </si>
  <si>
    <t>KR2044022G37</t>
  </si>
  <si>
    <t>D055022G3</t>
  </si>
  <si>
    <t>전북지역개발채권26-03</t>
  </si>
  <si>
    <t>KR2055022G33</t>
  </si>
  <si>
    <t>D099022G4</t>
  </si>
  <si>
    <t>제주지역개발채권26-04</t>
  </si>
  <si>
    <t>KR2099022G49</t>
  </si>
  <si>
    <t>D100012G4</t>
  </si>
  <si>
    <t>창원지역개발채권26-04</t>
  </si>
  <si>
    <t>KR2100012G47</t>
  </si>
  <si>
    <t>C03502GEC</t>
  </si>
  <si>
    <t>국고채권03000-3412(24-13)</t>
  </si>
  <si>
    <t>KR103502GEC4</t>
  </si>
  <si>
    <t>액면수량</t>
  </si>
  <si>
    <t>담보수량</t>
  </si>
  <si>
    <t>양도담보수량</t>
  </si>
  <si>
    <t>REPO수량</t>
  </si>
  <si>
    <t>장부가</t>
  </si>
  <si>
    <t>원화장부가</t>
  </si>
  <si>
    <t>평가기준가</t>
  </si>
  <si>
    <t>외화RP수시</t>
  </si>
  <si>
    <t>외화RP약정</t>
  </si>
  <si>
    <t>외화RP협의</t>
  </si>
  <si>
    <t>ESG채권구분</t>
  </si>
  <si>
    <t>,합 계,,,,,000000000005000000,000000000000000000,000000000000000000,000000000000000000,00000004680270.0000,000000005931306171,,,,000000000000000000,000000000000000000,000000000000000000,</t>
  </si>
  <si>
    <t>No</t>
  </si>
  <si>
    <t>북</t>
  </si>
  <si>
    <t>북Id</t>
  </si>
  <si>
    <t>번들Id</t>
  </si>
  <si>
    <t>거래구분</t>
  </si>
  <si>
    <t>북상태</t>
  </si>
  <si>
    <t>기준 명목잔액 통화코드</t>
  </si>
  <si>
    <t>기준 명목잔액</t>
  </si>
  <si>
    <t>명목잔액 통화코드</t>
  </si>
  <si>
    <t>2nd명목잔액 통화코드</t>
  </si>
  <si>
    <t>2nd명목잔액</t>
  </si>
  <si>
    <t>북코드</t>
  </si>
  <si>
    <t>북유형</t>
  </si>
  <si>
    <t>기초자산</t>
  </si>
  <si>
    <t>북 기준통화</t>
  </si>
  <si>
    <t>취득금액</t>
  </si>
  <si>
    <t>장부잔액</t>
  </si>
  <si>
    <t>기준장부금액</t>
  </si>
  <si>
    <t>평가금액(M)</t>
  </si>
  <si>
    <t>평가금액(First)</t>
  </si>
  <si>
    <t>수취경과이자</t>
  </si>
  <si>
    <t>지급경과이자</t>
  </si>
  <si>
    <t>MTM평가구분</t>
  </si>
  <si>
    <t>신용위험충당금</t>
  </si>
  <si>
    <t>이연거래손익</t>
  </si>
  <si>
    <t>이연수수료총손익</t>
  </si>
  <si>
    <t>기준</t>
  </si>
  <si>
    <t>잔액</t>
  </si>
  <si>
    <t>평가</t>
  </si>
  <si>
    <t>취득</t>
  </si>
  <si>
    <t>실현</t>
  </si>
  <si>
    <t>상각액
(누적)</t>
  </si>
  <si>
    <t>상각액
(일)</t>
  </si>
  <si>
    <t>잔액 - 상각액(누적)</t>
  </si>
  <si>
    <t>IRS2682-4</t>
  </si>
  <si>
    <t>외부거래</t>
  </si>
  <si>
    <t>Book</t>
  </si>
  <si>
    <t>I260405A200P</t>
  </si>
  <si>
    <t>파생상품(이자율/스왑)</t>
  </si>
  <si>
    <t>부채</t>
  </si>
  <si>
    <t>CD 91D,Fixed</t>
  </si>
  <si>
    <t>내부 시스템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</si>
</sst>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00"/>
    <numFmt numFmtId="177" formatCode="0.00_ "/>
    <numFmt numFmtId="178" formatCode="#,##0_ "/>
    <numFmt numFmtId="179" formatCode="0.0%"/>
    <numFmt numFmtId="180" formatCode="#,##0.00_ "/>
    <numFmt numFmtId="181" formatCode="#,##0.0_ "/>
    <numFmt numFmtId="182" formatCode="0.0_ "/>
    <numFmt numFmtId="183" formatCode="0.0000_ "/>
    <numFmt numFmtId="184" formatCode="#,##0.###############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D3D3"/>
      </patternFill>
    </fill>
  </fills>
  <borders count="1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0" borderId="0"/>
  </cellStyleXfs>
  <cellXfs count="2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2" xfId="0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right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29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21" xfId="0" applyBorder="1">
      <alignment vertical="center"/>
    </xf>
    <xf numFmtId="0" fontId="0" fillId="2" borderId="3" xfId="0" applyFill="1" applyBorder="1">
      <alignment vertical="center"/>
    </xf>
    <xf numFmtId="0" fontId="0" fillId="3" borderId="31" xfId="0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4" xfId="0" applyBorder="1">
      <alignment vertical="center"/>
    </xf>
    <xf numFmtId="0" fontId="0" fillId="4" borderId="28" xfId="0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5" borderId="24" xfId="0" applyFill="1" applyBorder="1">
      <alignment vertical="center"/>
    </xf>
    <xf numFmtId="0" fontId="0" fillId="5" borderId="0" xfId="0" applyFill="1">
      <alignment vertical="center"/>
    </xf>
    <xf numFmtId="0" fontId="0" fillId="5" borderId="15" xfId="0" applyFill="1" applyBorder="1">
      <alignment vertical="center"/>
    </xf>
    <xf numFmtId="0" fontId="0" fillId="5" borderId="25" xfId="0" applyFill="1" applyBorder="1">
      <alignment vertical="center"/>
    </xf>
    <xf numFmtId="0" fontId="0" fillId="5" borderId="25" xfId="0" applyFill="1" applyBorder="1" applyAlignment="1">
      <alignment horizontal="right" vertical="center"/>
    </xf>
    <xf numFmtId="0" fontId="0" fillId="5" borderId="9" xfId="0" applyFill="1" applyBorder="1" applyAlignment="1">
      <alignment horizontal="right" vertical="center"/>
    </xf>
    <xf numFmtId="0" fontId="0" fillId="5" borderId="9" xfId="0" applyFill="1" applyBorder="1">
      <alignment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>
      <alignment vertical="center"/>
    </xf>
    <xf numFmtId="0" fontId="0" fillId="5" borderId="10" xfId="0" applyFill="1" applyBorder="1" applyAlignment="1">
      <alignment horizontal="center" vertical="center"/>
    </xf>
    <xf numFmtId="0" fontId="0" fillId="5" borderId="19" xfId="0" applyFill="1" applyBorder="1">
      <alignment vertical="center"/>
    </xf>
    <xf numFmtId="0" fontId="0" fillId="5" borderId="29" xfId="0" applyFill="1" applyBorder="1">
      <alignment vertical="center"/>
    </xf>
    <xf numFmtId="0" fontId="0" fillId="5" borderId="29" xfId="0" applyFill="1" applyBorder="1" applyAlignment="1">
      <alignment horizontal="right" vertical="center"/>
    </xf>
    <xf numFmtId="0" fontId="0" fillId="5" borderId="10" xfId="0" applyFill="1" applyBorder="1">
      <alignment vertical="center"/>
    </xf>
    <xf numFmtId="0" fontId="0" fillId="5" borderId="11" xfId="0" applyFill="1" applyBorder="1" applyAlignment="1">
      <alignment horizontal="center" vertical="center"/>
    </xf>
    <xf numFmtId="0" fontId="0" fillId="5" borderId="20" xfId="0" applyFill="1" applyBorder="1">
      <alignment vertical="center"/>
    </xf>
    <xf numFmtId="0" fontId="0" fillId="5" borderId="30" xfId="0" applyFill="1" applyBorder="1">
      <alignment vertical="center"/>
    </xf>
    <xf numFmtId="0" fontId="0" fillId="5" borderId="3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27" xfId="0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4" borderId="26" xfId="0" applyFill="1" applyBorder="1">
      <alignment vertical="center"/>
    </xf>
    <xf numFmtId="0" fontId="0" fillId="0" borderId="2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8" borderId="40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78" fontId="5" fillId="0" borderId="8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9" fontId="2" fillId="9" borderId="50" xfId="2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52" xfId="0" applyNumberForma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right" vertical="center"/>
    </xf>
    <xf numFmtId="0" fontId="2" fillId="9" borderId="55" xfId="0" applyFont="1" applyFill="1" applyBorder="1" applyAlignment="1">
      <alignment horizontal="center" vertical="center"/>
    </xf>
    <xf numFmtId="179" fontId="2" fillId="9" borderId="56" xfId="2" applyNumberFormat="1" applyFont="1" applyFill="1" applyBorder="1" applyAlignment="1">
      <alignment horizontal="center" vertical="center"/>
    </xf>
    <xf numFmtId="179" fontId="2" fillId="9" borderId="57" xfId="2" applyNumberFormat="1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178" fontId="5" fillId="0" borderId="59" xfId="0" applyNumberFormat="1" applyFont="1" applyBorder="1" applyAlignment="1">
      <alignment horizontal="right" vertical="center"/>
    </xf>
    <xf numFmtId="178" fontId="5" fillId="0" borderId="28" xfId="0" applyNumberFormat="1" applyFont="1" applyBorder="1" applyAlignment="1">
      <alignment horizontal="right" vertical="center"/>
    </xf>
    <xf numFmtId="179" fontId="2" fillId="9" borderId="60" xfId="2" applyNumberFormat="1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178" fontId="5" fillId="0" borderId="63" xfId="0" applyNumberFormat="1" applyFont="1" applyBorder="1" applyAlignment="1">
      <alignment horizontal="right" vertical="center"/>
    </xf>
    <xf numFmtId="178" fontId="5" fillId="0" borderId="64" xfId="0" applyNumberFormat="1" applyFont="1" applyBorder="1" applyAlignment="1">
      <alignment horizontal="right" vertical="center"/>
    </xf>
    <xf numFmtId="179" fontId="2" fillId="9" borderId="65" xfId="2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178" fontId="5" fillId="0" borderId="67" xfId="0" applyNumberFormat="1" applyFont="1" applyBorder="1" applyAlignment="1">
      <alignment horizontal="right" vertical="center"/>
    </xf>
    <xf numFmtId="179" fontId="2" fillId="0" borderId="67" xfId="2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178" fontId="5" fillId="0" borderId="70" xfId="0" applyNumberFormat="1" applyFont="1" applyBorder="1" applyAlignment="1">
      <alignment horizontal="right" vertical="center"/>
    </xf>
    <xf numFmtId="178" fontId="5" fillId="0" borderId="71" xfId="0" applyNumberFormat="1" applyFont="1" applyBorder="1" applyAlignment="1">
      <alignment horizontal="right" vertical="center"/>
    </xf>
    <xf numFmtId="179" fontId="2" fillId="9" borderId="72" xfId="2" applyNumberFormat="1" applyFont="1" applyFill="1" applyBorder="1" applyAlignment="1">
      <alignment horizontal="center" vertical="center"/>
    </xf>
    <xf numFmtId="0" fontId="5" fillId="8" borderId="73" xfId="0" applyFont="1" applyFill="1" applyBorder="1" applyAlignment="1">
      <alignment horizontal="center" vertical="center"/>
    </xf>
    <xf numFmtId="178" fontId="5" fillId="0" borderId="22" xfId="0" applyNumberFormat="1" applyFont="1" applyBorder="1" applyAlignment="1">
      <alignment horizontal="center" vertical="center"/>
    </xf>
    <xf numFmtId="180" fontId="5" fillId="0" borderId="50" xfId="0" applyNumberFormat="1" applyFont="1" applyBorder="1" applyAlignment="1">
      <alignment horizontal="right" vertical="center"/>
    </xf>
    <xf numFmtId="178" fontId="5" fillId="0" borderId="27" xfId="0" applyNumberFormat="1" applyFont="1" applyBorder="1" applyAlignment="1">
      <alignment horizontal="center" vertical="center"/>
    </xf>
    <xf numFmtId="180" fontId="5" fillId="0" borderId="75" xfId="0" applyNumberFormat="1" applyFont="1" applyBorder="1" applyAlignment="1">
      <alignment horizontal="right" vertical="center"/>
    </xf>
    <xf numFmtId="0" fontId="2" fillId="9" borderId="60" xfId="0" applyFont="1" applyFill="1" applyBorder="1" applyAlignment="1">
      <alignment horizontal="center" vertical="center"/>
    </xf>
    <xf numFmtId="179" fontId="2" fillId="9" borderId="76" xfId="2" applyNumberFormat="1" applyFont="1" applyFill="1" applyBorder="1" applyAlignment="1">
      <alignment horizontal="center" vertical="center"/>
    </xf>
    <xf numFmtId="179" fontId="2" fillId="9" borderId="77" xfId="2" applyNumberFormat="1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178" fontId="5" fillId="0" borderId="50" xfId="0" applyNumberFormat="1" applyFont="1" applyBorder="1" applyAlignment="1">
      <alignment horizontal="right" vertical="center"/>
    </xf>
    <xf numFmtId="0" fontId="5" fillId="0" borderId="51" xfId="0" applyFont="1" applyBorder="1" applyAlignment="1">
      <alignment horizontal="center" vertical="center"/>
    </xf>
    <xf numFmtId="178" fontId="5" fillId="0" borderId="26" xfId="0" applyNumberFormat="1" applyFont="1" applyBorder="1" applyAlignment="1">
      <alignment horizontal="right" vertical="center"/>
    </xf>
    <xf numFmtId="178" fontId="5" fillId="0" borderId="52" xfId="0" applyNumberFormat="1" applyFont="1" applyBorder="1" applyAlignment="1">
      <alignment horizontal="right" vertical="center"/>
    </xf>
    <xf numFmtId="178" fontId="5" fillId="0" borderId="26" xfId="0" applyNumberFormat="1" applyFont="1" applyBorder="1" applyAlignment="1">
      <alignment horizontal="center" vertical="center"/>
    </xf>
    <xf numFmtId="180" fontId="5" fillId="0" borderId="52" xfId="0" applyNumberFormat="1" applyFont="1" applyBorder="1" applyAlignment="1">
      <alignment horizontal="right" vertical="center"/>
    </xf>
    <xf numFmtId="0" fontId="0" fillId="0" borderId="83" xfId="0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177" fontId="0" fillId="0" borderId="83" xfId="0" applyNumberFormat="1" applyBorder="1" applyAlignment="1">
      <alignment horizontal="center" vertical="center"/>
    </xf>
    <xf numFmtId="0" fontId="2" fillId="9" borderId="84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87" xfId="0" applyNumberFormat="1" applyBorder="1" applyAlignment="1">
      <alignment horizontal="center" vertical="center"/>
    </xf>
    <xf numFmtId="177" fontId="0" fillId="0" borderId="88" xfId="0" applyNumberFormat="1" applyBorder="1" applyAlignment="1">
      <alignment horizontal="center" vertical="center"/>
    </xf>
    <xf numFmtId="179" fontId="2" fillId="9" borderId="89" xfId="2" applyNumberFormat="1" applyFont="1" applyFill="1" applyBorder="1" applyAlignment="1">
      <alignment horizontal="center" vertical="center"/>
    </xf>
    <xf numFmtId="177" fontId="0" fillId="0" borderId="81" xfId="0" applyNumberFormat="1" applyBorder="1" applyAlignment="1">
      <alignment horizontal="center" vertical="center"/>
    </xf>
    <xf numFmtId="177" fontId="0" fillId="0" borderId="90" xfId="0" applyNumberForma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8" borderId="91" xfId="0" applyFill="1" applyBorder="1" applyAlignment="1">
      <alignment horizontal="center" vertical="center"/>
    </xf>
    <xf numFmtId="0" fontId="0" fillId="8" borderId="92" xfId="0" applyFill="1" applyBorder="1" applyAlignment="1">
      <alignment horizontal="center" vertical="center"/>
    </xf>
    <xf numFmtId="0" fontId="2" fillId="9" borderId="92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81" fontId="0" fillId="0" borderId="46" xfId="0" applyNumberFormat="1" applyBorder="1" applyAlignment="1">
      <alignment horizontal="center" vertical="center"/>
    </xf>
    <xf numFmtId="41" fontId="0" fillId="0" borderId="94" xfId="1" applyFont="1" applyBorder="1" applyAlignment="1">
      <alignment horizontal="center" vertical="center"/>
    </xf>
    <xf numFmtId="179" fontId="2" fillId="9" borderId="94" xfId="2" applyNumberFormat="1" applyFont="1" applyFill="1" applyBorder="1" applyAlignment="1">
      <alignment horizontal="center" vertical="center"/>
    </xf>
    <xf numFmtId="0" fontId="2" fillId="9" borderId="94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0" fillId="0" borderId="95" xfId="0" applyBorder="1" applyAlignment="1">
      <alignment horizontal="center" vertical="center"/>
    </xf>
    <xf numFmtId="180" fontId="0" fillId="0" borderId="96" xfId="0" applyNumberFormat="1" applyBorder="1" applyAlignment="1">
      <alignment horizontal="center" vertical="center"/>
    </xf>
    <xf numFmtId="178" fontId="0" fillId="0" borderId="97" xfId="0" applyNumberFormat="1" applyBorder="1" applyAlignment="1">
      <alignment horizontal="center" vertical="center"/>
    </xf>
    <xf numFmtId="179" fontId="2" fillId="9" borderId="97" xfId="2" applyNumberFormat="1" applyFont="1" applyFill="1" applyBorder="1" applyAlignment="1">
      <alignment horizontal="center" vertical="center"/>
    </xf>
    <xf numFmtId="0" fontId="2" fillId="9" borderId="97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79" fontId="2" fillId="9" borderId="26" xfId="2" applyNumberFormat="1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77" fontId="0" fillId="0" borderId="34" xfId="0" applyNumberForma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177" fontId="0" fillId="0" borderId="56" xfId="0" applyNumberFormat="1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179" fontId="2" fillId="9" borderId="101" xfId="2" applyNumberFormat="1" applyFont="1" applyFill="1" applyBorder="1" applyAlignment="1">
      <alignment horizontal="center" vertical="center"/>
    </xf>
    <xf numFmtId="0" fontId="2" fillId="9" borderId="10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82" fontId="0" fillId="0" borderId="63" xfId="0" applyNumberFormat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179" fontId="2" fillId="9" borderId="64" xfId="2" applyNumberFormat="1" applyFont="1" applyFill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79" fontId="2" fillId="9" borderId="22" xfId="2" applyNumberFormat="1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182" fontId="0" fillId="0" borderId="56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7" xfId="0" applyNumberFormat="1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181" fontId="0" fillId="0" borderId="56" xfId="0" applyNumberFormat="1" applyBorder="1" applyAlignment="1">
      <alignment horizontal="center" vertical="center"/>
    </xf>
    <xf numFmtId="178" fontId="0" fillId="0" borderId="101" xfId="0" applyNumberForma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9" borderId="46" xfId="1" applyNumberFormat="1" applyFont="1" applyFill="1" applyBorder="1" applyAlignment="1">
      <alignment horizontal="center" vertical="center"/>
    </xf>
    <xf numFmtId="178" fontId="2" fillId="9" borderId="47" xfId="1" applyNumberFormat="1" applyFont="1" applyFill="1" applyBorder="1" applyAlignment="1">
      <alignment horizontal="center" vertical="center"/>
    </xf>
    <xf numFmtId="41" fontId="0" fillId="0" borderId="26" xfId="1" applyFont="1" applyBorder="1" applyAlignment="1">
      <alignment horizontal="center" vertical="center"/>
    </xf>
    <xf numFmtId="0" fontId="2" fillId="9" borderId="51" xfId="0" applyFont="1" applyFill="1" applyBorder="1" applyAlignment="1">
      <alignment horizontal="center" vertical="center"/>
    </xf>
    <xf numFmtId="0" fontId="2" fillId="9" borderId="52" xfId="0" applyFont="1" applyFill="1" applyBorder="1" applyAlignment="1">
      <alignment horizontal="center" vertical="center"/>
    </xf>
    <xf numFmtId="0" fontId="2" fillId="9" borderId="82" xfId="0" applyFont="1" applyFill="1" applyBorder="1" applyAlignment="1">
      <alignment horizontal="center" vertical="center"/>
    </xf>
    <xf numFmtId="0" fontId="2" fillId="9" borderId="112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183" fontId="2" fillId="9" borderId="54" xfId="0" applyNumberFormat="1" applyFont="1" applyFill="1" applyBorder="1" applyAlignment="1">
      <alignment horizontal="center" vertical="center"/>
    </xf>
    <xf numFmtId="183" fontId="2" fillId="9" borderId="55" xfId="0" applyNumberFormat="1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0" fontId="12" fillId="11" borderId="22" xfId="3" applyFill="1" applyBorder="1" applyAlignment="1">
      <alignment horizontal="center"/>
    </xf>
    <xf numFmtId="0" fontId="12" fillId="0" borderId="8" xfId="3" applyBorder="1"/>
    <xf numFmtId="3" fontId="12" fillId="0" borderId="8" xfId="3" applyNumberFormat="1" applyBorder="1"/>
    <xf numFmtId="184" fontId="12" fillId="0" borderId="8" xfId="3" applyNumberFormat="1" applyBorder="1"/>
    <xf numFmtId="0" fontId="2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11" borderId="8" xfId="3" applyFill="1" applyBorder="1" applyAlignment="1">
      <alignment horizontal="center" vertical="center"/>
    </xf>
    <xf numFmtId="0" fontId="12" fillId="11" borderId="7" xfId="3" applyFill="1" applyBorder="1" applyAlignment="1">
      <alignment horizontal="center" vertical="center"/>
    </xf>
    <xf numFmtId="0" fontId="12" fillId="11" borderId="26" xfId="3" applyFill="1" applyBorder="1" applyAlignment="1">
      <alignment horizontal="center" vertical="center"/>
    </xf>
    <xf numFmtId="0" fontId="12" fillId="11" borderId="22" xfId="3" applyFill="1" applyBorder="1" applyAlignment="1">
      <alignment horizontal="center" vertical="center"/>
    </xf>
    <xf numFmtId="180" fontId="2" fillId="0" borderId="79" xfId="0" applyNumberFormat="1" applyFont="1" applyBorder="1" applyAlignment="1">
      <alignment horizontal="center" vertical="center"/>
    </xf>
    <xf numFmtId="180" fontId="2" fillId="0" borderId="80" xfId="0" applyNumberFormat="1" applyFont="1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0" fontId="0" fillId="8" borderId="38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180" fontId="2" fillId="9" borderId="85" xfId="0" applyNumberFormat="1" applyFont="1" applyFill="1" applyBorder="1" applyAlignment="1">
      <alignment horizontal="center" vertical="center"/>
    </xf>
    <xf numFmtId="180" fontId="2" fillId="9" borderId="86" xfId="0" applyNumberFormat="1" applyFont="1" applyFill="1" applyBorder="1" applyAlignment="1">
      <alignment horizontal="center" vertical="center"/>
    </xf>
    <xf numFmtId="0" fontId="0" fillId="0" borderId="98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8" borderId="104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8" borderId="102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0" fillId="8" borderId="92" xfId="0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2" xfId="3" xr:uid="{FE25A727-B413-49C0-8720-C395367FA6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48177;&#50629;_260226\work\&#50868;&#50857;\&#51068;&#51068;&#50629;&#47924;\&#51068;&#51068;&#50948;&#54744;&#44288;&#47532;\0_2026&#45380;\&#52292;&#44428;&#50868;&#50857;&#48512;%20&#51068;&#51068;&#50948;&#54744;&#44288;&#47532;(2026.4.8).xlsm" TargetMode="External"/><Relationship Id="rId1" Type="http://schemas.openxmlformats.org/officeDocument/2006/relationships/externalLinkPath" Target="file:///D:\&#48177;&#50629;_260226\work\&#50868;&#50857;\&#51068;&#51068;&#50629;&#47924;\&#51068;&#51068;&#50948;&#54744;&#44288;&#47532;\0_2026&#45380;\&#52292;&#44428;&#50868;&#50857;&#48512;%20&#51068;&#51068;&#50948;&#54744;&#44288;&#47532;(2026.4.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작성방법"/>
      <sheetName val="9999+9988"/>
      <sheetName val="9994"/>
      <sheetName val="9992"/>
      <sheetName val="7120(원화)"/>
      <sheetName val="7120(외화)"/>
      <sheetName val="7101"/>
      <sheetName val="주식(TR 8538)"/>
      <sheetName val="외화채Dur(TR 8226) "/>
      <sheetName val="CP(8347)"/>
      <sheetName val="CD(8347)"/>
      <sheetName val="국채선물"/>
      <sheetName val="지수선물"/>
      <sheetName val="주식선물"/>
      <sheetName val="데이터입력"/>
      <sheetName val="검증"/>
      <sheetName val="일일위험관리(출력)"/>
      <sheetName val="일별한도"/>
      <sheetName val="듀레이션"/>
      <sheetName val="9999편집"/>
      <sheetName val="9994편집"/>
      <sheetName val="9992편집"/>
      <sheetName val="7120(원화)편집"/>
      <sheetName val="7120(외화)편집"/>
      <sheetName val="7101편집"/>
      <sheetName val="주식편집"/>
      <sheetName val="지수선물편집"/>
      <sheetName val="CP,CD편집"/>
      <sheetName val="주식선물편집"/>
      <sheetName val="종목Data"/>
      <sheetName val="외화채권종목Data"/>
      <sheetName val="CP Data"/>
      <sheetName val="등급분류"/>
      <sheetName val="채권분류"/>
      <sheetName val="펀드종류"/>
      <sheetName val="잔고정리"/>
      <sheetName val="AAA회사채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A2">
            <v>8001</v>
          </cell>
          <cell r="B2" t="str">
            <v>PD</v>
          </cell>
        </row>
        <row r="3">
          <cell r="A3">
            <v>8002</v>
          </cell>
          <cell r="B3" t="str">
            <v>리테일</v>
          </cell>
        </row>
        <row r="4">
          <cell r="A4">
            <v>8003</v>
          </cell>
          <cell r="B4" t="str">
            <v>중개</v>
          </cell>
        </row>
        <row r="5">
          <cell r="A5">
            <v>8004</v>
          </cell>
          <cell r="B5" t="str">
            <v>중개</v>
          </cell>
        </row>
        <row r="6">
          <cell r="A6">
            <v>8005</v>
          </cell>
          <cell r="B6" t="str">
            <v>운용</v>
          </cell>
        </row>
        <row r="7">
          <cell r="A7">
            <v>8006</v>
          </cell>
          <cell r="B7" t="str">
            <v>운용</v>
          </cell>
        </row>
        <row r="8">
          <cell r="A8">
            <v>8007</v>
          </cell>
          <cell r="B8" t="str">
            <v>운용</v>
          </cell>
        </row>
        <row r="9">
          <cell r="A9">
            <v>8008</v>
          </cell>
          <cell r="B9" t="str">
            <v>운용2</v>
          </cell>
        </row>
        <row r="10">
          <cell r="A10">
            <v>8009</v>
          </cell>
          <cell r="B10" t="str">
            <v>운용</v>
          </cell>
        </row>
        <row r="11">
          <cell r="A11">
            <v>8010</v>
          </cell>
          <cell r="B11" t="str">
            <v>RP</v>
          </cell>
        </row>
        <row r="12">
          <cell r="A12">
            <v>8011</v>
          </cell>
          <cell r="B12" t="str">
            <v>운용</v>
          </cell>
        </row>
        <row r="13">
          <cell r="A13">
            <v>8012</v>
          </cell>
          <cell r="B13" t="str">
            <v>운용</v>
          </cell>
        </row>
        <row r="14">
          <cell r="A14">
            <v>8013</v>
          </cell>
          <cell r="B14" t="str">
            <v>CMA</v>
          </cell>
        </row>
        <row r="15">
          <cell r="A15">
            <v>8014</v>
          </cell>
          <cell r="B15" t="str">
            <v>리테일</v>
          </cell>
        </row>
        <row r="16">
          <cell r="A16">
            <v>8015</v>
          </cell>
          <cell r="B16" t="str">
            <v>운용</v>
          </cell>
        </row>
        <row r="17">
          <cell r="A17">
            <v>8016</v>
          </cell>
          <cell r="B17" t="str">
            <v>운용</v>
          </cell>
        </row>
        <row r="18">
          <cell r="A18">
            <v>8017</v>
          </cell>
          <cell r="B18" t="str">
            <v>운용</v>
          </cell>
        </row>
        <row r="19">
          <cell r="A19">
            <v>8018</v>
          </cell>
          <cell r="B19" t="str">
            <v>운용</v>
          </cell>
        </row>
        <row r="20">
          <cell r="A20">
            <v>8019</v>
          </cell>
          <cell r="B20" t="str">
            <v>운용</v>
          </cell>
        </row>
        <row r="21">
          <cell r="A21">
            <v>8020</v>
          </cell>
          <cell r="B21"/>
        </row>
        <row r="22">
          <cell r="A22">
            <v>8021</v>
          </cell>
          <cell r="B22" t="str">
            <v>운용</v>
          </cell>
        </row>
        <row r="23">
          <cell r="A23">
            <v>8051</v>
          </cell>
          <cell r="B23" t="str">
            <v>PD</v>
          </cell>
        </row>
        <row r="24">
          <cell r="A24">
            <v>8052</v>
          </cell>
          <cell r="B24" t="str">
            <v>중개</v>
          </cell>
        </row>
        <row r="25">
          <cell r="A25">
            <v>8053</v>
          </cell>
          <cell r="B25" t="str">
            <v>중개</v>
          </cell>
        </row>
        <row r="26">
          <cell r="A26">
            <v>8054</v>
          </cell>
          <cell r="B26" t="str">
            <v>중개</v>
          </cell>
        </row>
        <row r="27">
          <cell r="A27">
            <v>8055</v>
          </cell>
          <cell r="B27" t="str">
            <v>운용</v>
          </cell>
        </row>
        <row r="28">
          <cell r="A28">
            <v>8056</v>
          </cell>
          <cell r="B28" t="str">
            <v>운용</v>
          </cell>
        </row>
        <row r="29">
          <cell r="A29">
            <v>8057</v>
          </cell>
          <cell r="B29" t="str">
            <v>운용</v>
          </cell>
        </row>
        <row r="30">
          <cell r="A30">
            <v>8058</v>
          </cell>
          <cell r="B30" t="str">
            <v>운용2</v>
          </cell>
        </row>
        <row r="31">
          <cell r="A31">
            <v>8059</v>
          </cell>
          <cell r="B31" t="str">
            <v>운용</v>
          </cell>
        </row>
        <row r="32">
          <cell r="A32">
            <v>8060</v>
          </cell>
          <cell r="B32" t="str">
            <v>RP</v>
          </cell>
        </row>
        <row r="33">
          <cell r="A33">
            <v>8061</v>
          </cell>
          <cell r="B33" t="str">
            <v>운용</v>
          </cell>
        </row>
        <row r="34">
          <cell r="A34">
            <v>8062</v>
          </cell>
          <cell r="B34" t="str">
            <v>운용</v>
          </cell>
        </row>
        <row r="35">
          <cell r="A35">
            <v>8063</v>
          </cell>
          <cell r="B35" t="str">
            <v>CMA</v>
          </cell>
        </row>
        <row r="36">
          <cell r="A36">
            <v>8064</v>
          </cell>
          <cell r="B36" t="str">
            <v>운용</v>
          </cell>
        </row>
        <row r="37">
          <cell r="A37">
            <v>8065</v>
          </cell>
          <cell r="B37" t="str">
            <v>운용</v>
          </cell>
        </row>
        <row r="38">
          <cell r="A38">
            <v>8066</v>
          </cell>
          <cell r="B38" t="str">
            <v>운용</v>
          </cell>
        </row>
        <row r="39">
          <cell r="A39">
            <v>8067</v>
          </cell>
          <cell r="B39" t="str">
            <v>운용</v>
          </cell>
        </row>
        <row r="40">
          <cell r="A40">
            <v>8068</v>
          </cell>
          <cell r="B40" t="str">
            <v>운용</v>
          </cell>
        </row>
        <row r="41">
          <cell r="A41">
            <v>8069</v>
          </cell>
          <cell r="B41" t="str">
            <v>운용</v>
          </cell>
        </row>
        <row r="42">
          <cell r="A42">
            <v>8083</v>
          </cell>
          <cell r="B42" t="str">
            <v>중개</v>
          </cell>
        </row>
        <row r="43">
          <cell r="A43">
            <v>8070</v>
          </cell>
          <cell r="B43" t="str">
            <v>운용</v>
          </cell>
        </row>
        <row r="44">
          <cell r="A44">
            <v>8071</v>
          </cell>
          <cell r="B44" t="str">
            <v>운용</v>
          </cell>
        </row>
        <row r="45">
          <cell r="A45">
            <v>8080</v>
          </cell>
          <cell r="B45" t="str">
            <v>운용</v>
          </cell>
        </row>
        <row r="46">
          <cell r="A46">
            <v>9994</v>
          </cell>
          <cell r="B46" t="str">
            <v>증금RP</v>
          </cell>
        </row>
        <row r="47">
          <cell r="A47">
            <v>8090</v>
          </cell>
          <cell r="B47" t="str">
            <v>리테일</v>
          </cell>
        </row>
        <row r="48">
          <cell r="A48">
            <v>8022</v>
          </cell>
          <cell r="B48" t="str">
            <v>운용</v>
          </cell>
        </row>
        <row r="49">
          <cell r="A49">
            <v>9988</v>
          </cell>
          <cell r="B49" t="str">
            <v>운용</v>
          </cell>
        </row>
        <row r="50">
          <cell r="A50">
            <v>7120</v>
          </cell>
          <cell r="B50" t="str">
            <v>외화RP</v>
          </cell>
        </row>
        <row r="51">
          <cell r="A51">
            <v>7101</v>
          </cell>
          <cell r="B51" t="str">
            <v>외화채권</v>
          </cell>
        </row>
        <row r="52">
          <cell r="A52" t="str">
            <v>KB78A110</v>
          </cell>
          <cell r="B52" t="str">
            <v>주식현물</v>
          </cell>
        </row>
        <row r="53">
          <cell r="A53" t="str">
            <v>KB78A118</v>
          </cell>
          <cell r="B53" t="str">
            <v>주식현물</v>
          </cell>
        </row>
        <row r="54">
          <cell r="A54" t="str">
            <v>KB78A101</v>
          </cell>
          <cell r="B54" t="str">
            <v>지수선물</v>
          </cell>
        </row>
        <row r="55">
          <cell r="A55" t="str">
            <v>KB78A103</v>
          </cell>
          <cell r="B55" t="str">
            <v>지수선물</v>
          </cell>
        </row>
        <row r="56">
          <cell r="A56" t="str">
            <v>KB78A401</v>
          </cell>
          <cell r="B56" t="str">
            <v>주식선물</v>
          </cell>
        </row>
      </sheetData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CB5E-2287-424A-9C80-4C6ECEE4828B}">
  <sheetPr>
    <pageSetUpPr fitToPage="1"/>
  </sheetPr>
  <dimension ref="B5:Y107"/>
  <sheetViews>
    <sheetView tabSelected="1" zoomScale="70" zoomScaleNormal="70" workbookViewId="0">
      <selection activeCell="E40" sqref="E40"/>
    </sheetView>
  </sheetViews>
  <sheetFormatPr defaultRowHeight="16.5" x14ac:dyDescent="0.3"/>
  <cols>
    <col min="2" max="2" width="13" bestFit="1" customWidth="1"/>
    <col min="3" max="3" width="12.75" customWidth="1"/>
    <col min="4" max="4" width="16.375" bestFit="1" customWidth="1"/>
    <col min="5" max="5" width="13.125" customWidth="1"/>
    <col min="17" max="17" width="12.125" bestFit="1" customWidth="1"/>
    <col min="18" max="18" width="11.625" bestFit="1" customWidth="1"/>
  </cols>
  <sheetData>
    <row r="5" spans="2:25" x14ac:dyDescent="0.3">
      <c r="P5" s="1"/>
      <c r="Q5" s="1"/>
      <c r="R5" s="4" t="s">
        <v>38</v>
      </c>
    </row>
    <row r="7" spans="2:25" x14ac:dyDescent="0.3">
      <c r="B7" s="58" t="s">
        <v>0</v>
      </c>
      <c r="C7" s="38"/>
      <c r="D7" s="57"/>
      <c r="E7" s="62" t="s">
        <v>29</v>
      </c>
      <c r="F7" s="63" t="s">
        <v>7</v>
      </c>
      <c r="G7" s="63" t="s">
        <v>8</v>
      </c>
      <c r="H7" s="63" t="s">
        <v>9</v>
      </c>
      <c r="I7" s="63" t="s">
        <v>10</v>
      </c>
      <c r="J7" s="63" t="s">
        <v>11</v>
      </c>
      <c r="K7" s="63" t="s">
        <v>12</v>
      </c>
      <c r="L7" s="63" t="s">
        <v>13</v>
      </c>
      <c r="M7" s="63" t="s">
        <v>14</v>
      </c>
      <c r="N7" s="63" t="s">
        <v>15</v>
      </c>
      <c r="O7" s="63" t="s">
        <v>16</v>
      </c>
      <c r="P7" s="64" t="s">
        <v>21</v>
      </c>
      <c r="Q7" s="64" t="s">
        <v>39</v>
      </c>
      <c r="R7" s="63" t="s">
        <v>36</v>
      </c>
      <c r="S7" s="1"/>
      <c r="T7" s="213" t="s">
        <v>78</v>
      </c>
      <c r="U7" s="213"/>
      <c r="V7" s="213"/>
      <c r="W7" s="213"/>
      <c r="X7" s="213"/>
      <c r="Y7" s="213"/>
    </row>
    <row r="8" spans="2:25" x14ac:dyDescent="0.3">
      <c r="B8" s="224" t="s">
        <v>1</v>
      </c>
      <c r="C8" s="229" t="s">
        <v>40</v>
      </c>
      <c r="D8" s="227" t="s">
        <v>17</v>
      </c>
      <c r="E8" s="12"/>
      <c r="F8" s="17">
        <v>1000</v>
      </c>
      <c r="G8" s="17"/>
      <c r="H8" s="17"/>
      <c r="I8" s="17"/>
      <c r="J8" s="17"/>
      <c r="K8" s="17"/>
      <c r="L8" s="17"/>
      <c r="M8" s="17"/>
      <c r="N8" s="17"/>
      <c r="O8" s="17">
        <v>-500</v>
      </c>
      <c r="P8" s="3">
        <f t="shared" ref="P8:P12" si="0">SUM(F8:O8)</f>
        <v>500</v>
      </c>
      <c r="Q8" s="221">
        <f>P18/P16*100</f>
        <v>1.5454545454545454</v>
      </c>
      <c r="R8" s="221">
        <f>P26/P16*100</f>
        <v>0.5</v>
      </c>
      <c r="S8" s="2"/>
      <c r="T8" s="13"/>
      <c r="U8" s="6"/>
      <c r="V8" s="6"/>
      <c r="W8" s="6"/>
      <c r="X8" s="6"/>
      <c r="Y8" s="36"/>
    </row>
    <row r="9" spans="2:25" x14ac:dyDescent="0.3">
      <c r="B9" s="225"/>
      <c r="C9" s="215"/>
      <c r="D9" s="228"/>
      <c r="E9" s="11"/>
      <c r="F9" s="18" t="s">
        <v>31</v>
      </c>
      <c r="G9" s="16"/>
      <c r="H9" s="16"/>
      <c r="I9" s="16"/>
      <c r="J9" s="16"/>
      <c r="K9" s="16"/>
      <c r="L9" s="16"/>
      <c r="M9" s="16"/>
      <c r="N9" s="16"/>
      <c r="O9" s="18" t="s">
        <v>32</v>
      </c>
      <c r="P9" s="4" t="s">
        <v>33</v>
      </c>
      <c r="Q9" s="222"/>
      <c r="R9" s="222"/>
      <c r="S9" s="2"/>
      <c r="T9" s="2"/>
      <c r="Y9" s="30"/>
    </row>
    <row r="10" spans="2:25" x14ac:dyDescent="0.3">
      <c r="B10" s="225"/>
      <c r="C10" s="215"/>
      <c r="D10" s="233" t="s">
        <v>20</v>
      </c>
      <c r="E10" s="39"/>
      <c r="F10" s="40"/>
      <c r="G10" s="40">
        <v>5000</v>
      </c>
      <c r="H10" s="40">
        <v>2000</v>
      </c>
      <c r="I10" s="40"/>
      <c r="J10" s="40"/>
      <c r="K10" s="40">
        <v>1500</v>
      </c>
      <c r="L10" s="40"/>
      <c r="M10" s="40">
        <v>2000</v>
      </c>
      <c r="N10" s="40"/>
      <c r="O10" s="40"/>
      <c r="P10" s="41">
        <f t="shared" si="0"/>
        <v>10500</v>
      </c>
      <c r="Q10" s="222"/>
      <c r="R10" s="222"/>
      <c r="S10" s="2"/>
      <c r="T10" s="2"/>
      <c r="Y10" s="30"/>
    </row>
    <row r="11" spans="2:25" x14ac:dyDescent="0.3">
      <c r="B11" s="225"/>
      <c r="C11" s="215"/>
      <c r="D11" s="234"/>
      <c r="E11" s="42"/>
      <c r="F11" s="43"/>
      <c r="G11" s="44" t="s">
        <v>34</v>
      </c>
      <c r="H11" s="44" t="s">
        <v>35</v>
      </c>
      <c r="I11" s="43"/>
      <c r="J11" s="43"/>
      <c r="K11" s="43"/>
      <c r="L11" s="43"/>
      <c r="M11" s="43"/>
      <c r="N11" s="43"/>
      <c r="O11" s="43"/>
      <c r="P11" s="45" t="s">
        <v>31</v>
      </c>
      <c r="Q11" s="222"/>
      <c r="R11" s="222"/>
      <c r="S11" s="2"/>
      <c r="T11" s="2"/>
      <c r="Y11" s="30"/>
    </row>
    <row r="12" spans="2:25" x14ac:dyDescent="0.3">
      <c r="B12" s="225"/>
      <c r="C12" s="215"/>
      <c r="D12" s="227" t="s">
        <v>19</v>
      </c>
      <c r="E12" s="12"/>
      <c r="F12" s="17">
        <v>2500</v>
      </c>
      <c r="G12" s="17"/>
      <c r="H12" s="17"/>
      <c r="I12" s="17">
        <v>2500</v>
      </c>
      <c r="J12" s="17">
        <v>500</v>
      </c>
      <c r="K12" s="17"/>
      <c r="L12" s="17"/>
      <c r="M12" s="17"/>
      <c r="N12" s="17"/>
      <c r="O12" s="17"/>
      <c r="P12" s="3">
        <f t="shared" si="0"/>
        <v>5500</v>
      </c>
      <c r="Q12" s="222"/>
      <c r="R12" s="222"/>
      <c r="S12" s="2"/>
      <c r="T12" s="2"/>
      <c r="Y12" s="30"/>
    </row>
    <row r="13" spans="2:25" x14ac:dyDescent="0.3">
      <c r="B13" s="225"/>
      <c r="C13" s="215"/>
      <c r="D13" s="228"/>
      <c r="E13" s="11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"/>
      <c r="Q13" s="222"/>
      <c r="R13" s="222"/>
      <c r="S13" s="2"/>
      <c r="T13" s="2"/>
      <c r="Y13" s="30"/>
    </row>
    <row r="14" spans="2:25" x14ac:dyDescent="0.3">
      <c r="B14" s="225"/>
      <c r="C14" s="215"/>
      <c r="D14" s="235" t="s">
        <v>18</v>
      </c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1"/>
      <c r="Q14" s="222"/>
      <c r="R14" s="222"/>
      <c r="S14" s="2"/>
      <c r="T14" s="2"/>
      <c r="Y14" s="30"/>
    </row>
    <row r="15" spans="2:25" x14ac:dyDescent="0.3">
      <c r="B15" s="225"/>
      <c r="C15" s="215"/>
      <c r="D15" s="234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6"/>
      <c r="Q15" s="222"/>
      <c r="R15" s="222"/>
      <c r="S15" s="2"/>
      <c r="T15" s="2"/>
      <c r="Y15" s="30"/>
    </row>
    <row r="16" spans="2:25" x14ac:dyDescent="0.3">
      <c r="B16" s="225"/>
      <c r="C16" s="215"/>
      <c r="D16" s="224" t="s">
        <v>22</v>
      </c>
      <c r="E16" s="12"/>
      <c r="F16" s="17">
        <f>SUM(F8:F14)</f>
        <v>3500</v>
      </c>
      <c r="G16" s="17">
        <f t="shared" ref="G16:O16" si="1">SUM(G8:G14)</f>
        <v>5000</v>
      </c>
      <c r="H16" s="17">
        <f t="shared" si="1"/>
        <v>2000</v>
      </c>
      <c r="I16" s="17">
        <f t="shared" si="1"/>
        <v>2500</v>
      </c>
      <c r="J16" s="17">
        <f t="shared" si="1"/>
        <v>500</v>
      </c>
      <c r="K16" s="17">
        <f t="shared" si="1"/>
        <v>1500</v>
      </c>
      <c r="L16" s="17">
        <f t="shared" si="1"/>
        <v>0</v>
      </c>
      <c r="M16" s="17">
        <f t="shared" si="1"/>
        <v>2000</v>
      </c>
      <c r="N16" s="17">
        <f t="shared" si="1"/>
        <v>0</v>
      </c>
      <c r="O16" s="17">
        <f t="shared" si="1"/>
        <v>-500</v>
      </c>
      <c r="P16" s="3">
        <f>SUM(F16:O16)</f>
        <v>16500</v>
      </c>
      <c r="Q16" s="222"/>
      <c r="R16" s="222"/>
      <c r="S16" s="2"/>
      <c r="T16" s="2"/>
      <c r="Y16" s="30"/>
    </row>
    <row r="17" spans="2:25" x14ac:dyDescent="0.3">
      <c r="B17" s="225"/>
      <c r="C17" s="215"/>
      <c r="D17" s="226"/>
      <c r="E17" s="2"/>
      <c r="F17" s="18" t="s">
        <v>31</v>
      </c>
      <c r="G17" s="20" t="s">
        <v>34</v>
      </c>
      <c r="H17" s="20" t="s">
        <v>35</v>
      </c>
      <c r="I17" s="19"/>
      <c r="J17" s="19"/>
      <c r="K17" s="19"/>
      <c r="L17" s="19"/>
      <c r="M17" s="19"/>
      <c r="N17" s="19"/>
      <c r="O17" s="18" t="s">
        <v>32</v>
      </c>
      <c r="P17" s="35" t="s">
        <v>37</v>
      </c>
      <c r="Q17" s="222"/>
      <c r="R17" s="222"/>
      <c r="S17" s="2"/>
      <c r="T17" s="2"/>
      <c r="Y17" s="30"/>
    </row>
    <row r="18" spans="2:25" ht="17.25" thickBot="1" x14ac:dyDescent="0.35">
      <c r="B18" s="225"/>
      <c r="C18" s="215"/>
      <c r="D18" s="31" t="s">
        <v>27</v>
      </c>
      <c r="E18" s="14"/>
      <c r="F18" s="22">
        <f>F16*0.5/100</f>
        <v>17.5</v>
      </c>
      <c r="G18" s="22">
        <f>G16*1/100</f>
        <v>50</v>
      </c>
      <c r="H18" s="22">
        <f>H16*1.5/100</f>
        <v>30</v>
      </c>
      <c r="I18" s="22">
        <f>I16*2/100</f>
        <v>50</v>
      </c>
      <c r="J18" s="22">
        <f>J16*2.5/100</f>
        <v>12.5</v>
      </c>
      <c r="K18" s="22">
        <f>K16*3/100</f>
        <v>45</v>
      </c>
      <c r="L18" s="22">
        <f>L16*5/100</f>
        <v>0</v>
      </c>
      <c r="M18" s="22">
        <f>M16*10/100</f>
        <v>200</v>
      </c>
      <c r="N18" s="22">
        <f>N16*20/100</f>
        <v>0</v>
      </c>
      <c r="O18" s="22">
        <f>O16*30/100</f>
        <v>-150</v>
      </c>
      <c r="P18" s="27">
        <f>SUM(F18:O18)</f>
        <v>255</v>
      </c>
      <c r="Q18" s="222"/>
      <c r="R18" s="222"/>
      <c r="S18" s="2"/>
      <c r="T18" s="2"/>
      <c r="Y18" s="30"/>
    </row>
    <row r="19" spans="2:25" ht="17.25" thickTop="1" x14ac:dyDescent="0.3">
      <c r="B19" s="225"/>
      <c r="C19" s="215"/>
      <c r="D19" s="47" t="s">
        <v>23</v>
      </c>
      <c r="E19" s="39"/>
      <c r="F19" s="40"/>
      <c r="G19" s="40"/>
      <c r="H19" s="40"/>
      <c r="I19" s="40"/>
      <c r="J19" s="40"/>
      <c r="K19" s="40">
        <v>-1000</v>
      </c>
      <c r="L19" s="40"/>
      <c r="M19" s="40"/>
      <c r="N19" s="40"/>
      <c r="O19" s="40"/>
      <c r="P19" s="48">
        <f>SUM(F19:O19)</f>
        <v>-1000</v>
      </c>
      <c r="Q19" s="222"/>
      <c r="R19" s="222"/>
      <c r="S19" s="2"/>
      <c r="T19" s="2"/>
      <c r="Y19" s="30"/>
    </row>
    <row r="20" spans="2:25" x14ac:dyDescent="0.3">
      <c r="B20" s="225"/>
      <c r="C20" s="215"/>
      <c r="D20" s="49"/>
      <c r="E20" s="50"/>
      <c r="F20" s="51"/>
      <c r="G20" s="51"/>
      <c r="H20" s="51"/>
      <c r="I20" s="51"/>
      <c r="J20" s="51"/>
      <c r="K20" s="52" t="s">
        <v>35</v>
      </c>
      <c r="L20" s="51"/>
      <c r="M20" s="51"/>
      <c r="N20" s="51"/>
      <c r="O20" s="51"/>
      <c r="P20" s="53"/>
      <c r="Q20" s="222"/>
      <c r="R20" s="222"/>
      <c r="S20" s="2"/>
      <c r="T20" s="2"/>
      <c r="Y20" s="30"/>
    </row>
    <row r="21" spans="2:25" x14ac:dyDescent="0.3">
      <c r="B21" s="225"/>
      <c r="C21" s="215"/>
      <c r="D21" s="33" t="s">
        <v>24</v>
      </c>
      <c r="E21" s="12"/>
      <c r="F21" s="17"/>
      <c r="G21" s="17"/>
      <c r="H21" s="17"/>
      <c r="I21" s="17"/>
      <c r="J21" s="17"/>
      <c r="K21" s="17"/>
      <c r="L21" s="17"/>
      <c r="M21" s="17">
        <v>-500</v>
      </c>
      <c r="N21" s="17"/>
      <c r="O21" s="17"/>
      <c r="P21" s="10">
        <f>SUM(F21:O21)</f>
        <v>-500</v>
      </c>
      <c r="Q21" s="222"/>
      <c r="R21" s="222"/>
      <c r="S21" s="2"/>
      <c r="T21" s="2"/>
      <c r="Y21" s="30"/>
    </row>
    <row r="22" spans="2:25" x14ac:dyDescent="0.3">
      <c r="B22" s="225"/>
      <c r="C22" s="215"/>
      <c r="D22" s="32"/>
      <c r="E22" s="15"/>
      <c r="F22" s="23"/>
      <c r="G22" s="23"/>
      <c r="H22" s="23"/>
      <c r="I22" s="23"/>
      <c r="J22" s="23"/>
      <c r="K22" s="23"/>
      <c r="L22" s="23"/>
      <c r="M22" s="24" t="s">
        <v>31</v>
      </c>
      <c r="N22" s="23"/>
      <c r="O22" s="23"/>
      <c r="P22" s="9"/>
      <c r="Q22" s="222"/>
      <c r="R22" s="222"/>
      <c r="S22" s="2"/>
      <c r="T22" s="2"/>
      <c r="Y22" s="30"/>
    </row>
    <row r="23" spans="2:25" x14ac:dyDescent="0.3">
      <c r="B23" s="225"/>
      <c r="C23" s="215"/>
      <c r="D23" s="54" t="s">
        <v>25</v>
      </c>
      <c r="E23" s="55">
        <v>5000</v>
      </c>
      <c r="F23" s="56"/>
      <c r="G23" s="56"/>
      <c r="H23" s="56">
        <v>-2000</v>
      </c>
      <c r="I23" s="56">
        <v>-2500</v>
      </c>
      <c r="J23" s="56">
        <v>-500</v>
      </c>
      <c r="K23" s="56"/>
      <c r="L23" s="56"/>
      <c r="M23" s="56"/>
      <c r="N23" s="56"/>
      <c r="O23" s="56"/>
      <c r="P23" s="48">
        <f>SUM(F23:O23)</f>
        <v>-5000</v>
      </c>
      <c r="Q23" s="222"/>
      <c r="R23" s="222"/>
      <c r="S23" s="2"/>
      <c r="T23" s="2"/>
      <c r="Y23" s="30"/>
    </row>
    <row r="24" spans="2:25" x14ac:dyDescent="0.3">
      <c r="B24" s="225"/>
      <c r="C24" s="215"/>
      <c r="D24" s="47"/>
      <c r="E24" s="39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1"/>
      <c r="Q24" s="222"/>
      <c r="R24" s="222"/>
      <c r="S24" s="2"/>
      <c r="T24" s="2"/>
      <c r="Y24" s="30"/>
    </row>
    <row r="25" spans="2:25" ht="17.25" thickBot="1" x14ac:dyDescent="0.35">
      <c r="B25" s="225"/>
      <c r="C25" s="215"/>
      <c r="D25" s="31" t="s">
        <v>26</v>
      </c>
      <c r="E25" s="14">
        <f>E23*0.25/100</f>
        <v>12.5</v>
      </c>
      <c r="F25" s="22">
        <f>F23*0.25/100</f>
        <v>0</v>
      </c>
      <c r="G25" s="22">
        <f>G23*0.25/100</f>
        <v>0</v>
      </c>
      <c r="H25" s="22">
        <f>H23*1.5/100</f>
        <v>-30</v>
      </c>
      <c r="I25" s="22">
        <f>I23*2/100</f>
        <v>-50</v>
      </c>
      <c r="J25" s="22">
        <f>J23*2.5/100</f>
        <v>-12.5</v>
      </c>
      <c r="K25" s="22">
        <f>K19*3/100</f>
        <v>-30</v>
      </c>
      <c r="L25" s="22">
        <f>L23*0.25/100</f>
        <v>0</v>
      </c>
      <c r="M25" s="22">
        <f>M21*10/100</f>
        <v>-50</v>
      </c>
      <c r="N25" s="22">
        <f>N23*0.25/100</f>
        <v>0</v>
      </c>
      <c r="O25" s="22">
        <f>O23*0.25/100</f>
        <v>0</v>
      </c>
      <c r="P25" s="27">
        <f>SUM(F25:O25)</f>
        <v>-172.5</v>
      </c>
      <c r="Q25" s="222"/>
      <c r="R25" s="222"/>
      <c r="S25" s="2"/>
      <c r="T25" s="2"/>
      <c r="Y25" s="30"/>
    </row>
    <row r="26" spans="2:25" ht="18" thickTop="1" thickBot="1" x14ac:dyDescent="0.35">
      <c r="B26" s="225"/>
      <c r="C26" s="215"/>
      <c r="D26" s="34" t="s">
        <v>28</v>
      </c>
      <c r="E26" s="25">
        <f>E18+E25</f>
        <v>12.5</v>
      </c>
      <c r="F26" s="26">
        <f t="shared" ref="F26:P26" si="2">F18+F25</f>
        <v>17.5</v>
      </c>
      <c r="G26" s="26">
        <f t="shared" si="2"/>
        <v>50</v>
      </c>
      <c r="H26" s="26">
        <f t="shared" si="2"/>
        <v>0</v>
      </c>
      <c r="I26" s="26">
        <f t="shared" si="2"/>
        <v>0</v>
      </c>
      <c r="J26" s="26">
        <f t="shared" si="2"/>
        <v>0</v>
      </c>
      <c r="K26" s="26">
        <f t="shared" si="2"/>
        <v>15</v>
      </c>
      <c r="L26" s="26">
        <f t="shared" si="2"/>
        <v>0</v>
      </c>
      <c r="M26" s="26">
        <f t="shared" si="2"/>
        <v>150</v>
      </c>
      <c r="N26" s="26">
        <f t="shared" si="2"/>
        <v>0</v>
      </c>
      <c r="O26" s="26">
        <f t="shared" si="2"/>
        <v>-150</v>
      </c>
      <c r="P26" s="28">
        <f t="shared" si="2"/>
        <v>82.5</v>
      </c>
      <c r="Q26" s="223"/>
      <c r="R26" s="223"/>
      <c r="S26" s="2"/>
      <c r="T26" s="2"/>
      <c r="Y26" s="30"/>
    </row>
    <row r="27" spans="2:25" ht="17.25" thickTop="1" x14ac:dyDescent="0.3">
      <c r="B27" s="225"/>
      <c r="C27" s="215"/>
      <c r="D27" s="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R27" s="29"/>
      <c r="T27" s="2"/>
      <c r="Y27" s="30"/>
    </row>
    <row r="28" spans="2:25" ht="17.25" thickBot="1" x14ac:dyDescent="0.35">
      <c r="B28" s="225"/>
      <c r="C28" s="215"/>
      <c r="D28" s="31" t="s">
        <v>30</v>
      </c>
      <c r="E28" s="14"/>
      <c r="F28" s="22"/>
      <c r="G28" s="22"/>
      <c r="H28" s="22">
        <f>H18</f>
        <v>30</v>
      </c>
      <c r="I28" s="22">
        <f>I18</f>
        <v>50</v>
      </c>
      <c r="J28" s="22">
        <f>J18</f>
        <v>12.5</v>
      </c>
      <c r="K28" s="22"/>
      <c r="L28" s="22"/>
      <c r="M28" s="22"/>
      <c r="N28" s="22"/>
      <c r="O28" s="22"/>
      <c r="P28" s="37">
        <f>SUM(E28:O28)</f>
        <v>92.5</v>
      </c>
      <c r="Q28" s="1"/>
      <c r="R28" s="5"/>
      <c r="T28" s="11"/>
      <c r="U28" s="1"/>
      <c r="V28" s="1"/>
      <c r="W28" s="1"/>
      <c r="X28" s="1"/>
      <c r="Y28" s="5"/>
    </row>
    <row r="29" spans="2:25" ht="17.25" thickTop="1" x14ac:dyDescent="0.3">
      <c r="B29" s="225"/>
      <c r="R29" s="65"/>
    </row>
    <row r="30" spans="2:25" x14ac:dyDescent="0.3">
      <c r="B30" s="225"/>
      <c r="C30" s="38"/>
      <c r="D30" s="57"/>
      <c r="E30" s="62" t="s">
        <v>29</v>
      </c>
      <c r="F30" s="63" t="s">
        <v>7</v>
      </c>
      <c r="G30" s="63" t="s">
        <v>8</v>
      </c>
      <c r="H30" s="63" t="s">
        <v>9</v>
      </c>
      <c r="I30" s="63" t="s">
        <v>10</v>
      </c>
      <c r="J30" s="63" t="s">
        <v>11</v>
      </c>
      <c r="K30" s="63" t="s">
        <v>12</v>
      </c>
      <c r="L30" s="63" t="s">
        <v>13</v>
      </c>
      <c r="M30" s="63" t="s">
        <v>14</v>
      </c>
      <c r="N30" s="63" t="s">
        <v>15</v>
      </c>
      <c r="O30" s="63" t="s">
        <v>16</v>
      </c>
      <c r="P30" s="64" t="s">
        <v>21</v>
      </c>
      <c r="Q30" s="64" t="s">
        <v>39</v>
      </c>
      <c r="R30" s="63" t="s">
        <v>36</v>
      </c>
      <c r="T30" s="213" t="s">
        <v>78</v>
      </c>
      <c r="U30" s="213"/>
      <c r="V30" s="213"/>
      <c r="W30" s="213"/>
      <c r="X30" s="213"/>
      <c r="Y30" s="213"/>
    </row>
    <row r="31" spans="2:25" x14ac:dyDescent="0.3">
      <c r="B31" s="225"/>
      <c r="C31" s="215" t="s">
        <v>3</v>
      </c>
      <c r="D31" s="227" t="s">
        <v>17</v>
      </c>
      <c r="E31" s="12"/>
      <c r="F31" s="17">
        <v>1000</v>
      </c>
      <c r="G31" s="17"/>
      <c r="H31" s="17"/>
      <c r="I31" s="17"/>
      <c r="J31" s="17"/>
      <c r="K31" s="17"/>
      <c r="L31" s="17"/>
      <c r="M31" s="17"/>
      <c r="N31" s="17"/>
      <c r="O31" s="17">
        <v>-500</v>
      </c>
      <c r="P31" s="3">
        <f t="shared" ref="P31" si="3">SUM(F31:O31)</f>
        <v>500</v>
      </c>
      <c r="Q31" s="221">
        <f>P41/P39*100</f>
        <v>1.5454545454545454</v>
      </c>
      <c r="R31" s="221">
        <f>P49/P39*100</f>
        <v>0.5</v>
      </c>
      <c r="T31" s="13"/>
      <c r="U31" s="6"/>
      <c r="V31" s="6"/>
      <c r="W31" s="6"/>
      <c r="X31" s="6"/>
      <c r="Y31" s="36"/>
    </row>
    <row r="32" spans="2:25" x14ac:dyDescent="0.3">
      <c r="B32" s="225"/>
      <c r="C32" s="215"/>
      <c r="D32" s="228"/>
      <c r="E32" s="11"/>
      <c r="F32" s="18" t="s">
        <v>31</v>
      </c>
      <c r="G32" s="16"/>
      <c r="H32" s="16"/>
      <c r="I32" s="16"/>
      <c r="J32" s="16"/>
      <c r="K32" s="16"/>
      <c r="L32" s="16"/>
      <c r="M32" s="16"/>
      <c r="N32" s="16"/>
      <c r="O32" s="18" t="s">
        <v>32</v>
      </c>
      <c r="P32" s="4" t="s">
        <v>33</v>
      </c>
      <c r="Q32" s="222"/>
      <c r="R32" s="222"/>
      <c r="T32" s="2"/>
      <c r="Y32" s="30"/>
    </row>
    <row r="33" spans="2:25" x14ac:dyDescent="0.3">
      <c r="B33" s="225"/>
      <c r="C33" s="215"/>
      <c r="D33" s="233" t="s">
        <v>20</v>
      </c>
      <c r="E33" s="39"/>
      <c r="F33" s="40"/>
      <c r="G33" s="40">
        <v>5000</v>
      </c>
      <c r="H33" s="40">
        <v>2000</v>
      </c>
      <c r="I33" s="40"/>
      <c r="J33" s="40"/>
      <c r="K33" s="40">
        <v>1500</v>
      </c>
      <c r="L33" s="40"/>
      <c r="M33" s="40">
        <v>2000</v>
      </c>
      <c r="N33" s="40"/>
      <c r="O33" s="40"/>
      <c r="P33" s="41">
        <f t="shared" ref="P33" si="4">SUM(F33:O33)</f>
        <v>10500</v>
      </c>
      <c r="Q33" s="222"/>
      <c r="R33" s="222"/>
      <c r="T33" s="2"/>
      <c r="Y33" s="30"/>
    </row>
    <row r="34" spans="2:25" x14ac:dyDescent="0.3">
      <c r="B34" s="225"/>
      <c r="C34" s="215"/>
      <c r="D34" s="234"/>
      <c r="E34" s="42"/>
      <c r="F34" s="43"/>
      <c r="G34" s="44" t="s">
        <v>34</v>
      </c>
      <c r="H34" s="44" t="s">
        <v>35</v>
      </c>
      <c r="I34" s="43"/>
      <c r="J34" s="43"/>
      <c r="K34" s="43"/>
      <c r="L34" s="43"/>
      <c r="M34" s="43"/>
      <c r="N34" s="43"/>
      <c r="O34" s="43"/>
      <c r="P34" s="45" t="s">
        <v>31</v>
      </c>
      <c r="Q34" s="222"/>
      <c r="R34" s="222"/>
      <c r="T34" s="2"/>
      <c r="Y34" s="30"/>
    </row>
    <row r="35" spans="2:25" x14ac:dyDescent="0.3">
      <c r="B35" s="225"/>
      <c r="C35" s="215"/>
      <c r="D35" s="227" t="s">
        <v>19</v>
      </c>
      <c r="E35" s="12"/>
      <c r="F35" s="17">
        <v>2500</v>
      </c>
      <c r="G35" s="17"/>
      <c r="H35" s="17"/>
      <c r="I35" s="17">
        <v>2500</v>
      </c>
      <c r="J35" s="17">
        <v>500</v>
      </c>
      <c r="K35" s="17"/>
      <c r="L35" s="17"/>
      <c r="M35" s="17"/>
      <c r="N35" s="17"/>
      <c r="O35" s="17"/>
      <c r="P35" s="3">
        <f t="shared" ref="P35" si="5">SUM(F35:O35)</f>
        <v>5500</v>
      </c>
      <c r="Q35" s="222"/>
      <c r="R35" s="222"/>
      <c r="T35" s="2"/>
      <c r="Y35" s="30"/>
    </row>
    <row r="36" spans="2:25" x14ac:dyDescent="0.3">
      <c r="B36" s="225"/>
      <c r="C36" s="215"/>
      <c r="D36" s="228"/>
      <c r="E36" s="1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"/>
      <c r="Q36" s="222"/>
      <c r="R36" s="222"/>
      <c r="T36" s="2"/>
      <c r="Y36" s="30"/>
    </row>
    <row r="37" spans="2:25" x14ac:dyDescent="0.3">
      <c r="B37" s="225"/>
      <c r="C37" s="215"/>
      <c r="D37" s="235" t="s">
        <v>18</v>
      </c>
      <c r="E37" s="39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1"/>
      <c r="Q37" s="222"/>
      <c r="R37" s="222"/>
      <c r="T37" s="2"/>
      <c r="Y37" s="30"/>
    </row>
    <row r="38" spans="2:25" x14ac:dyDescent="0.3">
      <c r="B38" s="225"/>
      <c r="C38" s="215"/>
      <c r="D38" s="234"/>
      <c r="E38" s="42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6"/>
      <c r="Q38" s="222"/>
      <c r="R38" s="222"/>
      <c r="T38" s="2"/>
      <c r="Y38" s="30"/>
    </row>
    <row r="39" spans="2:25" x14ac:dyDescent="0.3">
      <c r="B39" s="225"/>
      <c r="C39" s="215"/>
      <c r="D39" s="224" t="s">
        <v>22</v>
      </c>
      <c r="E39" s="12"/>
      <c r="F39" s="17">
        <f>SUM(F31:F37)</f>
        <v>3500</v>
      </c>
      <c r="G39" s="17">
        <f>SUM(G31:G37)</f>
        <v>5000</v>
      </c>
      <c r="H39" s="17">
        <f t="shared" ref="H39" si="6">SUM(H31:H37)</f>
        <v>2000</v>
      </c>
      <c r="I39" s="17">
        <f t="shared" ref="I39" si="7">SUM(I31:I37)</f>
        <v>2500</v>
      </c>
      <c r="J39" s="17">
        <f t="shared" ref="J39" si="8">SUM(J31:J37)</f>
        <v>500</v>
      </c>
      <c r="K39" s="17">
        <f t="shared" ref="K39" si="9">SUM(K31:K37)</f>
        <v>1500</v>
      </c>
      <c r="L39" s="17">
        <f t="shared" ref="L39" si="10">SUM(L31:L37)</f>
        <v>0</v>
      </c>
      <c r="M39" s="17">
        <f t="shared" ref="M39" si="11">SUM(M31:M37)</f>
        <v>2000</v>
      </c>
      <c r="N39" s="17">
        <f t="shared" ref="N39" si="12">SUM(N31:N37)</f>
        <v>0</v>
      </c>
      <c r="O39" s="17">
        <f t="shared" ref="O39" si="13">SUM(O31:O37)</f>
        <v>-500</v>
      </c>
      <c r="P39" s="3">
        <f>SUM(F39:O39)</f>
        <v>16500</v>
      </c>
      <c r="Q39" s="222"/>
      <c r="R39" s="222"/>
      <c r="T39" s="2"/>
      <c r="Y39" s="30"/>
    </row>
    <row r="40" spans="2:25" x14ac:dyDescent="0.3">
      <c r="B40" s="225"/>
      <c r="C40" s="215"/>
      <c r="D40" s="226"/>
      <c r="E40" s="2"/>
      <c r="F40" s="18" t="s">
        <v>31</v>
      </c>
      <c r="G40" s="20" t="s">
        <v>34</v>
      </c>
      <c r="H40" s="20" t="s">
        <v>35</v>
      </c>
      <c r="I40" s="19"/>
      <c r="J40" s="19"/>
      <c r="K40" s="19"/>
      <c r="L40" s="19"/>
      <c r="M40" s="19"/>
      <c r="N40" s="19"/>
      <c r="O40" s="18" t="s">
        <v>32</v>
      </c>
      <c r="P40" s="35" t="s">
        <v>37</v>
      </c>
      <c r="Q40" s="222"/>
      <c r="R40" s="222"/>
      <c r="T40" s="2"/>
      <c r="Y40" s="30"/>
    </row>
    <row r="41" spans="2:25" ht="17.25" thickBot="1" x14ac:dyDescent="0.35">
      <c r="B41" s="225"/>
      <c r="C41" s="215"/>
      <c r="D41" s="31" t="s">
        <v>27</v>
      </c>
      <c r="E41" s="14"/>
      <c r="F41" s="22">
        <f>F39*0.5/100</f>
        <v>17.5</v>
      </c>
      <c r="G41" s="22">
        <f>G39*1/100</f>
        <v>50</v>
      </c>
      <c r="H41" s="22">
        <f>H39*1.5/100</f>
        <v>30</v>
      </c>
      <c r="I41" s="22">
        <f>I39*2/100</f>
        <v>50</v>
      </c>
      <c r="J41" s="22">
        <f>J39*2.5/100</f>
        <v>12.5</v>
      </c>
      <c r="K41" s="22">
        <f>K39*3/100</f>
        <v>45</v>
      </c>
      <c r="L41" s="22">
        <f>L39*5/100</f>
        <v>0</v>
      </c>
      <c r="M41" s="22">
        <f>M39*10/100</f>
        <v>200</v>
      </c>
      <c r="N41" s="22">
        <f>N39*20/100</f>
        <v>0</v>
      </c>
      <c r="O41" s="22">
        <f>O39*30/100</f>
        <v>-150</v>
      </c>
      <c r="P41" s="27">
        <f>SUM(F41:O41)</f>
        <v>255</v>
      </c>
      <c r="Q41" s="222"/>
      <c r="R41" s="222"/>
      <c r="T41" s="2"/>
      <c r="Y41" s="30"/>
    </row>
    <row r="42" spans="2:25" ht="17.25" thickTop="1" x14ac:dyDescent="0.3">
      <c r="B42" s="225"/>
      <c r="C42" s="215"/>
      <c r="D42" s="47" t="s">
        <v>23</v>
      </c>
      <c r="E42" s="39"/>
      <c r="F42" s="40"/>
      <c r="G42" s="40"/>
      <c r="H42" s="40"/>
      <c r="I42" s="40"/>
      <c r="J42" s="40"/>
      <c r="K42" s="40">
        <v>-1000</v>
      </c>
      <c r="L42" s="40"/>
      <c r="M42" s="40"/>
      <c r="N42" s="40"/>
      <c r="O42" s="40"/>
      <c r="P42" s="48">
        <f>SUM(F42:O42)</f>
        <v>-1000</v>
      </c>
      <c r="Q42" s="222"/>
      <c r="R42" s="222"/>
      <c r="T42" s="2"/>
      <c r="Y42" s="30"/>
    </row>
    <row r="43" spans="2:25" x14ac:dyDescent="0.3">
      <c r="B43" s="225"/>
      <c r="C43" s="215"/>
      <c r="D43" s="49"/>
      <c r="E43" s="50"/>
      <c r="F43" s="51"/>
      <c r="G43" s="51"/>
      <c r="H43" s="51"/>
      <c r="I43" s="51"/>
      <c r="J43" s="51"/>
      <c r="K43" s="52" t="s">
        <v>35</v>
      </c>
      <c r="L43" s="51"/>
      <c r="M43" s="51"/>
      <c r="N43" s="51"/>
      <c r="O43" s="51"/>
      <c r="P43" s="53"/>
      <c r="Q43" s="222"/>
      <c r="R43" s="222"/>
      <c r="T43" s="2"/>
      <c r="Y43" s="30"/>
    </row>
    <row r="44" spans="2:25" x14ac:dyDescent="0.3">
      <c r="B44" s="225"/>
      <c r="C44" s="215"/>
      <c r="D44" s="33" t="s">
        <v>24</v>
      </c>
      <c r="E44" s="12"/>
      <c r="F44" s="17"/>
      <c r="G44" s="17"/>
      <c r="H44" s="17"/>
      <c r="I44" s="17"/>
      <c r="J44" s="17"/>
      <c r="K44" s="17"/>
      <c r="L44" s="17"/>
      <c r="M44" s="17">
        <v>-500</v>
      </c>
      <c r="N44" s="17"/>
      <c r="O44" s="17"/>
      <c r="P44" s="10">
        <f>SUM(F44:O44)</f>
        <v>-500</v>
      </c>
      <c r="Q44" s="222"/>
      <c r="R44" s="222"/>
      <c r="T44" s="2"/>
      <c r="Y44" s="30"/>
    </row>
    <row r="45" spans="2:25" x14ac:dyDescent="0.3">
      <c r="B45" s="225"/>
      <c r="C45" s="215"/>
      <c r="D45" s="32"/>
      <c r="E45" s="15"/>
      <c r="F45" s="23"/>
      <c r="G45" s="23"/>
      <c r="H45" s="23"/>
      <c r="I45" s="23"/>
      <c r="J45" s="23"/>
      <c r="K45" s="23"/>
      <c r="L45" s="23"/>
      <c r="M45" s="24" t="s">
        <v>31</v>
      </c>
      <c r="N45" s="23"/>
      <c r="O45" s="23"/>
      <c r="P45" s="9"/>
      <c r="Q45" s="222"/>
      <c r="R45" s="222"/>
      <c r="T45" s="2"/>
      <c r="Y45" s="30"/>
    </row>
    <row r="46" spans="2:25" x14ac:dyDescent="0.3">
      <c r="B46" s="225"/>
      <c r="C46" s="215"/>
      <c r="D46" s="54" t="s">
        <v>25</v>
      </c>
      <c r="E46" s="55">
        <v>5000</v>
      </c>
      <c r="F46" s="56"/>
      <c r="G46" s="56"/>
      <c r="H46" s="56">
        <v>-2000</v>
      </c>
      <c r="I46" s="56">
        <v>-2500</v>
      </c>
      <c r="J46" s="56">
        <v>-500</v>
      </c>
      <c r="K46" s="56"/>
      <c r="L46" s="56"/>
      <c r="M46" s="56"/>
      <c r="N46" s="56"/>
      <c r="O46" s="56"/>
      <c r="P46" s="48">
        <f>SUM(F46:O46)</f>
        <v>-5000</v>
      </c>
      <c r="Q46" s="222"/>
      <c r="R46" s="222"/>
      <c r="T46" s="2"/>
      <c r="Y46" s="30"/>
    </row>
    <row r="47" spans="2:25" x14ac:dyDescent="0.3">
      <c r="B47" s="225"/>
      <c r="C47" s="215"/>
      <c r="D47" s="47"/>
      <c r="E47" s="39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1"/>
      <c r="Q47" s="222"/>
      <c r="R47" s="222"/>
      <c r="T47" s="2"/>
      <c r="Y47" s="30"/>
    </row>
    <row r="48" spans="2:25" ht="17.25" thickBot="1" x14ac:dyDescent="0.35">
      <c r="B48" s="225"/>
      <c r="C48" s="215"/>
      <c r="D48" s="31" t="s">
        <v>26</v>
      </c>
      <c r="E48" s="14">
        <f>E46*0.25/100</f>
        <v>12.5</v>
      </c>
      <c r="F48" s="22">
        <f>F46*0.25/100</f>
        <v>0</v>
      </c>
      <c r="G48" s="22">
        <f>G46*0.25/100</f>
        <v>0</v>
      </c>
      <c r="H48" s="22">
        <f>H46*1.5/100</f>
        <v>-30</v>
      </c>
      <c r="I48" s="22">
        <f>I46*2/100</f>
        <v>-50</v>
      </c>
      <c r="J48" s="22">
        <f>J46*2.5/100</f>
        <v>-12.5</v>
      </c>
      <c r="K48" s="22">
        <f>K42*3/100</f>
        <v>-30</v>
      </c>
      <c r="L48" s="22">
        <f>L46*0.25/100</f>
        <v>0</v>
      </c>
      <c r="M48" s="22">
        <f>M44*10/100</f>
        <v>-50</v>
      </c>
      <c r="N48" s="22">
        <f>N46*0.25/100</f>
        <v>0</v>
      </c>
      <c r="O48" s="22">
        <f>O46*0.25/100</f>
        <v>0</v>
      </c>
      <c r="P48" s="27">
        <f>SUM(F48:O48)</f>
        <v>-172.5</v>
      </c>
      <c r="Q48" s="222"/>
      <c r="R48" s="222"/>
      <c r="T48" s="2"/>
      <c r="Y48" s="30"/>
    </row>
    <row r="49" spans="2:25" ht="18" thickTop="1" thickBot="1" x14ac:dyDescent="0.35">
      <c r="B49" s="225"/>
      <c r="C49" s="215"/>
      <c r="D49" s="34" t="s">
        <v>28</v>
      </c>
      <c r="E49" s="25">
        <f>E41+E48</f>
        <v>12.5</v>
      </c>
      <c r="F49" s="26">
        <f t="shared" ref="F49" si="14">F41+F48</f>
        <v>17.5</v>
      </c>
      <c r="G49" s="26">
        <f t="shared" ref="G49" si="15">G41+G48</f>
        <v>50</v>
      </c>
      <c r="H49" s="26">
        <f t="shared" ref="H49" si="16">H41+H48</f>
        <v>0</v>
      </c>
      <c r="I49" s="26">
        <f t="shared" ref="I49" si="17">I41+I48</f>
        <v>0</v>
      </c>
      <c r="J49" s="26">
        <f t="shared" ref="J49" si="18">J41+J48</f>
        <v>0</v>
      </c>
      <c r="K49" s="26">
        <f t="shared" ref="K49" si="19">K41+K48</f>
        <v>15</v>
      </c>
      <c r="L49" s="26">
        <f t="shared" ref="L49" si="20">L41+L48</f>
        <v>0</v>
      </c>
      <c r="M49" s="26">
        <f t="shared" ref="M49" si="21">M41+M48</f>
        <v>150</v>
      </c>
      <c r="N49" s="26">
        <f t="shared" ref="N49" si="22">N41+N48</f>
        <v>0</v>
      </c>
      <c r="O49" s="26">
        <f t="shared" ref="O49" si="23">O41+O48</f>
        <v>-150</v>
      </c>
      <c r="P49" s="28">
        <f t="shared" ref="P49" si="24">P41+P48</f>
        <v>82.5</v>
      </c>
      <c r="Q49" s="223"/>
      <c r="R49" s="223"/>
      <c r="T49" s="2"/>
      <c r="Y49" s="30"/>
    </row>
    <row r="50" spans="2:25" ht="17.25" thickTop="1" x14ac:dyDescent="0.3">
      <c r="B50" s="225"/>
      <c r="C50" s="215"/>
      <c r="D50" s="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29"/>
      <c r="T50" s="2"/>
      <c r="Y50" s="30"/>
    </row>
    <row r="51" spans="2:25" ht="17.25" thickBot="1" x14ac:dyDescent="0.35">
      <c r="B51" s="225"/>
      <c r="C51" s="215"/>
      <c r="D51" s="31" t="s">
        <v>30</v>
      </c>
      <c r="E51" s="14"/>
      <c r="F51" s="22"/>
      <c r="G51" s="22"/>
      <c r="H51" s="22">
        <f>H41</f>
        <v>30</v>
      </c>
      <c r="I51" s="22">
        <f>I41</f>
        <v>50</v>
      </c>
      <c r="J51" s="22">
        <f>J41</f>
        <v>12.5</v>
      </c>
      <c r="K51" s="22"/>
      <c r="L51" s="22"/>
      <c r="M51" s="22"/>
      <c r="N51" s="22"/>
      <c r="O51" s="22"/>
      <c r="P51" s="37">
        <f>SUM(E51:O51)</f>
        <v>92.5</v>
      </c>
      <c r="Q51" s="1"/>
      <c r="R51" s="5"/>
      <c r="T51" s="11"/>
      <c r="U51" s="1"/>
      <c r="V51" s="1"/>
      <c r="W51" s="1"/>
      <c r="X51" s="1"/>
      <c r="Y51" s="5"/>
    </row>
    <row r="52" spans="2:25" ht="17.25" thickTop="1" x14ac:dyDescent="0.3">
      <c r="B52" s="225"/>
      <c r="R52" s="65"/>
    </row>
    <row r="53" spans="2:25" x14ac:dyDescent="0.3">
      <c r="B53" s="225"/>
      <c r="C53" s="38"/>
      <c r="D53" s="57"/>
      <c r="E53" s="62" t="s">
        <v>29</v>
      </c>
      <c r="F53" s="63" t="s">
        <v>7</v>
      </c>
      <c r="G53" s="63" t="s">
        <v>8</v>
      </c>
      <c r="H53" s="63" t="s">
        <v>9</v>
      </c>
      <c r="I53" s="63" t="s">
        <v>10</v>
      </c>
      <c r="J53" s="63" t="s">
        <v>11</v>
      </c>
      <c r="K53" s="63" t="s">
        <v>12</v>
      </c>
      <c r="L53" s="63" t="s">
        <v>13</v>
      </c>
      <c r="M53" s="63" t="s">
        <v>14</v>
      </c>
      <c r="N53" s="63" t="s">
        <v>15</v>
      </c>
      <c r="O53" s="63" t="s">
        <v>16</v>
      </c>
      <c r="P53" s="64" t="s">
        <v>21</v>
      </c>
      <c r="Q53" s="64" t="s">
        <v>39</v>
      </c>
      <c r="R53" s="63" t="s">
        <v>36</v>
      </c>
      <c r="T53" s="213" t="s">
        <v>78</v>
      </c>
      <c r="U53" s="213"/>
      <c r="V53" s="213"/>
      <c r="W53" s="213"/>
      <c r="X53" s="213"/>
      <c r="Y53" s="213"/>
    </row>
    <row r="54" spans="2:25" ht="16.5" customHeight="1" x14ac:dyDescent="0.3">
      <c r="B54" s="225"/>
      <c r="C54" s="230" t="s">
        <v>41</v>
      </c>
      <c r="D54" s="227" t="s">
        <v>17</v>
      </c>
      <c r="E54" s="12"/>
      <c r="F54" s="17">
        <v>1000</v>
      </c>
      <c r="G54" s="17"/>
      <c r="H54" s="17"/>
      <c r="I54" s="17"/>
      <c r="J54" s="17"/>
      <c r="K54" s="17"/>
      <c r="L54" s="17"/>
      <c r="M54" s="17"/>
      <c r="N54" s="17"/>
      <c r="O54" s="17">
        <v>-500</v>
      </c>
      <c r="P54" s="3">
        <f t="shared" ref="P54" si="25">SUM(F54:O54)</f>
        <v>500</v>
      </c>
      <c r="Q54" s="221">
        <f>P64/P62*100</f>
        <v>1.5454545454545454</v>
      </c>
      <c r="R54" s="221">
        <f>P72/P62*100</f>
        <v>0.5</v>
      </c>
      <c r="T54" s="13"/>
      <c r="U54" s="6"/>
      <c r="V54" s="6"/>
      <c r="W54" s="6"/>
      <c r="X54" s="6"/>
      <c r="Y54" s="36"/>
    </row>
    <row r="55" spans="2:25" x14ac:dyDescent="0.3">
      <c r="B55" s="225"/>
      <c r="C55" s="231"/>
      <c r="D55" s="228"/>
      <c r="E55" s="11"/>
      <c r="F55" s="18" t="s">
        <v>31</v>
      </c>
      <c r="G55" s="16"/>
      <c r="H55" s="16"/>
      <c r="I55" s="16"/>
      <c r="J55" s="16"/>
      <c r="K55" s="16"/>
      <c r="L55" s="16"/>
      <c r="M55" s="16"/>
      <c r="N55" s="16"/>
      <c r="O55" s="18" t="s">
        <v>32</v>
      </c>
      <c r="P55" s="4" t="s">
        <v>33</v>
      </c>
      <c r="Q55" s="222"/>
      <c r="R55" s="222"/>
      <c r="T55" s="2"/>
      <c r="Y55" s="30"/>
    </row>
    <row r="56" spans="2:25" x14ac:dyDescent="0.3">
      <c r="B56" s="225"/>
      <c r="C56" s="231"/>
      <c r="D56" s="233" t="s">
        <v>20</v>
      </c>
      <c r="E56" s="39"/>
      <c r="F56" s="40"/>
      <c r="G56" s="40">
        <v>5000</v>
      </c>
      <c r="H56" s="40">
        <v>2000</v>
      </c>
      <c r="I56" s="40"/>
      <c r="J56" s="40"/>
      <c r="K56" s="40">
        <v>1500</v>
      </c>
      <c r="L56" s="40"/>
      <c r="M56" s="40">
        <v>2000</v>
      </c>
      <c r="N56" s="40"/>
      <c r="O56" s="40"/>
      <c r="P56" s="41">
        <f t="shared" ref="P56" si="26">SUM(F56:O56)</f>
        <v>10500</v>
      </c>
      <c r="Q56" s="222"/>
      <c r="R56" s="222"/>
      <c r="T56" s="2"/>
      <c r="Y56" s="30"/>
    </row>
    <row r="57" spans="2:25" x14ac:dyDescent="0.3">
      <c r="B57" s="225"/>
      <c r="C57" s="231"/>
      <c r="D57" s="234"/>
      <c r="E57" s="42"/>
      <c r="F57" s="43"/>
      <c r="G57" s="44" t="s">
        <v>34</v>
      </c>
      <c r="H57" s="44" t="s">
        <v>35</v>
      </c>
      <c r="I57" s="43"/>
      <c r="J57" s="43"/>
      <c r="K57" s="43"/>
      <c r="L57" s="43"/>
      <c r="M57" s="43"/>
      <c r="N57" s="43"/>
      <c r="O57" s="43"/>
      <c r="P57" s="45" t="s">
        <v>31</v>
      </c>
      <c r="Q57" s="222"/>
      <c r="R57" s="222"/>
      <c r="T57" s="2"/>
      <c r="Y57" s="30"/>
    </row>
    <row r="58" spans="2:25" x14ac:dyDescent="0.3">
      <c r="B58" s="225"/>
      <c r="C58" s="231"/>
      <c r="D58" s="227" t="s">
        <v>19</v>
      </c>
      <c r="E58" s="12"/>
      <c r="F58" s="17">
        <v>2500</v>
      </c>
      <c r="G58" s="17"/>
      <c r="H58" s="17"/>
      <c r="I58" s="17">
        <v>2500</v>
      </c>
      <c r="J58" s="17">
        <v>500</v>
      </c>
      <c r="K58" s="17"/>
      <c r="L58" s="17"/>
      <c r="M58" s="17"/>
      <c r="N58" s="17"/>
      <c r="O58" s="17"/>
      <c r="P58" s="3">
        <f t="shared" ref="P58" si="27">SUM(F58:O58)</f>
        <v>5500</v>
      </c>
      <c r="Q58" s="222"/>
      <c r="R58" s="222"/>
      <c r="T58" s="2"/>
      <c r="Y58" s="30"/>
    </row>
    <row r="59" spans="2:25" x14ac:dyDescent="0.3">
      <c r="B59" s="225"/>
      <c r="C59" s="231"/>
      <c r="D59" s="228"/>
      <c r="E59" s="11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"/>
      <c r="Q59" s="222"/>
      <c r="R59" s="222"/>
      <c r="T59" s="2"/>
      <c r="Y59" s="30"/>
    </row>
    <row r="60" spans="2:25" x14ac:dyDescent="0.3">
      <c r="B60" s="225"/>
      <c r="C60" s="231"/>
      <c r="D60" s="235" t="s">
        <v>18</v>
      </c>
      <c r="E60" s="3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1"/>
      <c r="Q60" s="222"/>
      <c r="R60" s="222"/>
      <c r="T60" s="2"/>
      <c r="Y60" s="30"/>
    </row>
    <row r="61" spans="2:25" x14ac:dyDescent="0.3">
      <c r="B61" s="225"/>
      <c r="C61" s="231"/>
      <c r="D61" s="234"/>
      <c r="E61" s="42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6"/>
      <c r="Q61" s="222"/>
      <c r="R61" s="222"/>
      <c r="T61" s="2"/>
      <c r="Y61" s="30"/>
    </row>
    <row r="62" spans="2:25" x14ac:dyDescent="0.3">
      <c r="B62" s="225"/>
      <c r="C62" s="231"/>
      <c r="D62" s="236" t="s">
        <v>22</v>
      </c>
      <c r="E62" s="12"/>
      <c r="F62" s="17">
        <f>SUM(F54:F60)</f>
        <v>3500</v>
      </c>
      <c r="G62" s="17">
        <f t="shared" ref="G62" si="28">SUM(G54:G60)</f>
        <v>5000</v>
      </c>
      <c r="H62" s="17">
        <f t="shared" ref="H62" si="29">SUM(H54:H60)</f>
        <v>2000</v>
      </c>
      <c r="I62" s="17">
        <f t="shared" ref="I62" si="30">SUM(I54:I60)</f>
        <v>2500</v>
      </c>
      <c r="J62" s="17">
        <f t="shared" ref="J62" si="31">SUM(J54:J60)</f>
        <v>500</v>
      </c>
      <c r="K62" s="17">
        <f t="shared" ref="K62" si="32">SUM(K54:K60)</f>
        <v>1500</v>
      </c>
      <c r="L62" s="17">
        <f t="shared" ref="L62" si="33">SUM(L54:L60)</f>
        <v>0</v>
      </c>
      <c r="M62" s="17">
        <f t="shared" ref="M62" si="34">SUM(M54:M60)</f>
        <v>2000</v>
      </c>
      <c r="N62" s="17">
        <f t="shared" ref="N62" si="35">SUM(N54:N60)</f>
        <v>0</v>
      </c>
      <c r="O62" s="17">
        <f t="shared" ref="O62" si="36">SUM(O54:O60)</f>
        <v>-500</v>
      </c>
      <c r="P62" s="3">
        <f>SUM(F62:O62)</f>
        <v>16500</v>
      </c>
      <c r="Q62" s="222"/>
      <c r="R62" s="222"/>
      <c r="T62" s="2"/>
      <c r="Y62" s="30"/>
    </row>
    <row r="63" spans="2:25" x14ac:dyDescent="0.3">
      <c r="B63" s="225"/>
      <c r="C63" s="231"/>
      <c r="D63" s="239"/>
      <c r="E63" s="2"/>
      <c r="F63" s="18" t="s">
        <v>31</v>
      </c>
      <c r="G63" s="20" t="s">
        <v>34</v>
      </c>
      <c r="H63" s="20" t="s">
        <v>35</v>
      </c>
      <c r="I63" s="19"/>
      <c r="J63" s="19"/>
      <c r="K63" s="19"/>
      <c r="L63" s="19"/>
      <c r="M63" s="19"/>
      <c r="N63" s="19"/>
      <c r="O63" s="18" t="s">
        <v>32</v>
      </c>
      <c r="P63" s="35" t="s">
        <v>37</v>
      </c>
      <c r="Q63" s="222"/>
      <c r="R63" s="222"/>
      <c r="T63" s="2"/>
      <c r="Y63" s="30"/>
    </row>
    <row r="64" spans="2:25" ht="17.25" thickBot="1" x14ac:dyDescent="0.35">
      <c r="B64" s="225"/>
      <c r="C64" s="231"/>
      <c r="D64" s="31" t="s">
        <v>27</v>
      </c>
      <c r="E64" s="14"/>
      <c r="F64" s="22">
        <f>F62*0.5/100</f>
        <v>17.5</v>
      </c>
      <c r="G64" s="22">
        <f>G62*1/100</f>
        <v>50</v>
      </c>
      <c r="H64" s="22">
        <f>H62*1.5/100</f>
        <v>30</v>
      </c>
      <c r="I64" s="22">
        <f>I62*2/100</f>
        <v>50</v>
      </c>
      <c r="J64" s="22">
        <f>J62*2.5/100</f>
        <v>12.5</v>
      </c>
      <c r="K64" s="22">
        <f>K62*3/100</f>
        <v>45</v>
      </c>
      <c r="L64" s="22">
        <f>L62*5/100</f>
        <v>0</v>
      </c>
      <c r="M64" s="22">
        <f>M62*10/100</f>
        <v>200</v>
      </c>
      <c r="N64" s="22">
        <f>N62*20/100</f>
        <v>0</v>
      </c>
      <c r="O64" s="22">
        <f>O62*30/100</f>
        <v>-150</v>
      </c>
      <c r="P64" s="27">
        <f>SUM(F64:O64)</f>
        <v>255</v>
      </c>
      <c r="Q64" s="222"/>
      <c r="R64" s="222"/>
      <c r="T64" s="2"/>
      <c r="Y64" s="30"/>
    </row>
    <row r="65" spans="2:25" ht="17.25" thickTop="1" x14ac:dyDescent="0.3">
      <c r="B65" s="225"/>
      <c r="C65" s="231"/>
      <c r="D65" s="47" t="s">
        <v>23</v>
      </c>
      <c r="E65" s="39"/>
      <c r="F65" s="40"/>
      <c r="G65" s="40"/>
      <c r="H65" s="40"/>
      <c r="I65" s="40"/>
      <c r="J65" s="40"/>
      <c r="K65" s="40">
        <v>-1000</v>
      </c>
      <c r="L65" s="40"/>
      <c r="M65" s="40"/>
      <c r="N65" s="40"/>
      <c r="O65" s="40"/>
      <c r="P65" s="48">
        <f>SUM(F65:O65)</f>
        <v>-1000</v>
      </c>
      <c r="Q65" s="222"/>
      <c r="R65" s="222"/>
      <c r="T65" s="2"/>
      <c r="Y65" s="30"/>
    </row>
    <row r="66" spans="2:25" x14ac:dyDescent="0.3">
      <c r="B66" s="225"/>
      <c r="C66" s="231"/>
      <c r="D66" s="49"/>
      <c r="E66" s="50"/>
      <c r="F66" s="51"/>
      <c r="G66" s="51"/>
      <c r="H66" s="51"/>
      <c r="I66" s="51"/>
      <c r="J66" s="51"/>
      <c r="K66" s="52" t="s">
        <v>35</v>
      </c>
      <c r="L66" s="51"/>
      <c r="M66" s="51"/>
      <c r="N66" s="51"/>
      <c r="O66" s="51"/>
      <c r="P66" s="53"/>
      <c r="Q66" s="222"/>
      <c r="R66" s="222"/>
      <c r="T66" s="2"/>
      <c r="Y66" s="30"/>
    </row>
    <row r="67" spans="2:25" x14ac:dyDescent="0.3">
      <c r="B67" s="225"/>
      <c r="C67" s="231"/>
      <c r="D67" s="33" t="s">
        <v>24</v>
      </c>
      <c r="E67" s="12"/>
      <c r="F67" s="17"/>
      <c r="G67" s="17"/>
      <c r="H67" s="17"/>
      <c r="I67" s="17"/>
      <c r="J67" s="17"/>
      <c r="K67" s="17"/>
      <c r="L67" s="17"/>
      <c r="M67" s="17">
        <v>-500</v>
      </c>
      <c r="N67" s="17"/>
      <c r="O67" s="17"/>
      <c r="P67" s="10">
        <f>SUM(F67:O67)</f>
        <v>-500</v>
      </c>
      <c r="Q67" s="222"/>
      <c r="R67" s="222"/>
      <c r="T67" s="2"/>
      <c r="Y67" s="30"/>
    </row>
    <row r="68" spans="2:25" x14ac:dyDescent="0.3">
      <c r="B68" s="225"/>
      <c r="C68" s="231"/>
      <c r="D68" s="32"/>
      <c r="E68" s="15"/>
      <c r="F68" s="23"/>
      <c r="G68" s="23"/>
      <c r="H68" s="23"/>
      <c r="I68" s="23"/>
      <c r="J68" s="23"/>
      <c r="K68" s="23"/>
      <c r="L68" s="23"/>
      <c r="M68" s="24" t="s">
        <v>31</v>
      </c>
      <c r="N68" s="23"/>
      <c r="O68" s="23"/>
      <c r="P68" s="9"/>
      <c r="Q68" s="222"/>
      <c r="R68" s="222"/>
      <c r="T68" s="2"/>
      <c r="Y68" s="30"/>
    </row>
    <row r="69" spans="2:25" x14ac:dyDescent="0.3">
      <c r="B69" s="225"/>
      <c r="C69" s="231"/>
      <c r="D69" s="54" t="s">
        <v>25</v>
      </c>
      <c r="E69" s="55">
        <v>5000</v>
      </c>
      <c r="F69" s="56"/>
      <c r="G69" s="56"/>
      <c r="H69" s="56">
        <v>-2000</v>
      </c>
      <c r="I69" s="56">
        <v>-2500</v>
      </c>
      <c r="J69" s="56">
        <v>-500</v>
      </c>
      <c r="K69" s="56"/>
      <c r="L69" s="56"/>
      <c r="M69" s="56"/>
      <c r="N69" s="56"/>
      <c r="O69" s="56"/>
      <c r="P69" s="48">
        <f>SUM(F69:O69)</f>
        <v>-5000</v>
      </c>
      <c r="Q69" s="222"/>
      <c r="R69" s="222"/>
      <c r="T69" s="2"/>
      <c r="Y69" s="30"/>
    </row>
    <row r="70" spans="2:25" x14ac:dyDescent="0.3">
      <c r="B70" s="225"/>
      <c r="C70" s="231"/>
      <c r="D70" s="47"/>
      <c r="E70" s="39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1"/>
      <c r="Q70" s="222"/>
      <c r="R70" s="222"/>
      <c r="T70" s="2"/>
      <c r="Y70" s="30"/>
    </row>
    <row r="71" spans="2:25" ht="17.25" thickBot="1" x14ac:dyDescent="0.35">
      <c r="B71" s="225"/>
      <c r="C71" s="231"/>
      <c r="D71" s="31" t="s">
        <v>26</v>
      </c>
      <c r="E71" s="14">
        <f>E69*0.25/100</f>
        <v>12.5</v>
      </c>
      <c r="F71" s="22">
        <f>F69*0.25/100</f>
        <v>0</v>
      </c>
      <c r="G71" s="22">
        <f>G69*0.25/100</f>
        <v>0</v>
      </c>
      <c r="H71" s="22">
        <f>H69*1.5/100</f>
        <v>-30</v>
      </c>
      <c r="I71" s="22">
        <f>I69*2/100</f>
        <v>-50</v>
      </c>
      <c r="J71" s="22">
        <f>J69*2.5/100</f>
        <v>-12.5</v>
      </c>
      <c r="K71" s="22">
        <f>K65*3/100</f>
        <v>-30</v>
      </c>
      <c r="L71" s="22">
        <f>L69*0.25/100</f>
        <v>0</v>
      </c>
      <c r="M71" s="22">
        <f>M67*10/100</f>
        <v>-50</v>
      </c>
      <c r="N71" s="22">
        <f>N69*0.25/100</f>
        <v>0</v>
      </c>
      <c r="O71" s="22">
        <f>O69*0.25/100</f>
        <v>0</v>
      </c>
      <c r="P71" s="27">
        <f>SUM(F71:O71)</f>
        <v>-172.5</v>
      </c>
      <c r="Q71" s="222"/>
      <c r="R71" s="222"/>
      <c r="T71" s="2"/>
      <c r="Y71" s="30"/>
    </row>
    <row r="72" spans="2:25" ht="18" thickTop="1" thickBot="1" x14ac:dyDescent="0.35">
      <c r="B72" s="225"/>
      <c r="C72" s="231"/>
      <c r="D72" s="34" t="s">
        <v>28</v>
      </c>
      <c r="E72" s="25">
        <f>E64+E71</f>
        <v>12.5</v>
      </c>
      <c r="F72" s="26">
        <f t="shared" ref="F72" si="37">F64+F71</f>
        <v>17.5</v>
      </c>
      <c r="G72" s="26">
        <f t="shared" ref="G72" si="38">G64+G71</f>
        <v>50</v>
      </c>
      <c r="H72" s="26">
        <f t="shared" ref="H72" si="39">H64+H71</f>
        <v>0</v>
      </c>
      <c r="I72" s="26">
        <f t="shared" ref="I72" si="40">I64+I71</f>
        <v>0</v>
      </c>
      <c r="J72" s="26">
        <f t="shared" ref="J72" si="41">J64+J71</f>
        <v>0</v>
      </c>
      <c r="K72" s="26">
        <f t="shared" ref="K72" si="42">K64+K71</f>
        <v>15</v>
      </c>
      <c r="L72" s="26">
        <f t="shared" ref="L72" si="43">L64+L71</f>
        <v>0</v>
      </c>
      <c r="M72" s="26">
        <f t="shared" ref="M72" si="44">M64+M71</f>
        <v>150</v>
      </c>
      <c r="N72" s="26">
        <f t="shared" ref="N72" si="45">N64+N71</f>
        <v>0</v>
      </c>
      <c r="O72" s="26">
        <f t="shared" ref="O72" si="46">O64+O71</f>
        <v>-150</v>
      </c>
      <c r="P72" s="28">
        <f t="shared" ref="P72" si="47">P64+P71</f>
        <v>82.5</v>
      </c>
      <c r="Q72" s="223"/>
      <c r="R72" s="223"/>
      <c r="T72" s="2"/>
      <c r="Y72" s="30"/>
    </row>
    <row r="73" spans="2:25" ht="17.25" thickTop="1" x14ac:dyDescent="0.3">
      <c r="B73" s="225"/>
      <c r="C73" s="231"/>
      <c r="D73" s="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29"/>
      <c r="T73" s="2"/>
      <c r="Y73" s="30"/>
    </row>
    <row r="74" spans="2:25" x14ac:dyDescent="0.3">
      <c r="B74" s="225"/>
      <c r="C74" s="231"/>
      <c r="D74" s="7" t="s">
        <v>30</v>
      </c>
      <c r="E74" s="13"/>
      <c r="F74" s="21"/>
      <c r="G74" s="21"/>
      <c r="H74" s="69">
        <f>H64</f>
        <v>30</v>
      </c>
      <c r="I74" s="69">
        <f>I64</f>
        <v>50</v>
      </c>
      <c r="J74" s="69">
        <f>J64</f>
        <v>12.5</v>
      </c>
      <c r="K74" s="69"/>
      <c r="L74" s="69"/>
      <c r="M74" s="69"/>
      <c r="N74" s="69"/>
      <c r="O74" s="69"/>
      <c r="P74" s="77">
        <f>SUM(E74:O74)</f>
        <v>92.5</v>
      </c>
      <c r="R74" s="30"/>
      <c r="T74" s="11"/>
      <c r="U74" s="1"/>
      <c r="V74" s="1"/>
      <c r="W74" s="1"/>
      <c r="X74" s="1"/>
      <c r="Y74" s="5"/>
    </row>
    <row r="75" spans="2:25" x14ac:dyDescent="0.3">
      <c r="B75" s="225"/>
      <c r="C75" s="231"/>
      <c r="D75" s="6"/>
      <c r="E75" s="6"/>
      <c r="F75" s="6"/>
      <c r="G75" s="6"/>
      <c r="O75" s="220" t="s">
        <v>64</v>
      </c>
      <c r="P75" s="220"/>
      <c r="Q75" s="6"/>
      <c r="R75" s="36"/>
    </row>
    <row r="76" spans="2:25" x14ac:dyDescent="0.3">
      <c r="B76" s="225"/>
      <c r="C76" s="231"/>
      <c r="D76" s="215" t="s">
        <v>42</v>
      </c>
      <c r="E76" s="72" t="s">
        <v>48</v>
      </c>
      <c r="F76" s="17"/>
      <c r="H76" s="75" t="s">
        <v>0</v>
      </c>
      <c r="I76" s="75" t="s">
        <v>56</v>
      </c>
      <c r="J76" s="75" t="s">
        <v>57</v>
      </c>
      <c r="K76" s="75" t="s">
        <v>58</v>
      </c>
      <c r="L76" s="75" t="s">
        <v>59</v>
      </c>
      <c r="M76" s="75" t="s">
        <v>60</v>
      </c>
      <c r="N76" s="75" t="s">
        <v>61</v>
      </c>
      <c r="O76" s="75" t="s">
        <v>62</v>
      </c>
      <c r="P76" s="75" t="s">
        <v>65</v>
      </c>
      <c r="R76" s="30"/>
    </row>
    <row r="77" spans="2:25" ht="17.25" thickBot="1" x14ac:dyDescent="0.35">
      <c r="B77" s="225"/>
      <c r="C77" s="231"/>
      <c r="D77" s="215"/>
      <c r="E77" s="60" t="s">
        <v>49</v>
      </c>
      <c r="F77" s="16"/>
      <c r="H77" s="34" t="s">
        <v>63</v>
      </c>
      <c r="I77" s="34">
        <v>1</v>
      </c>
      <c r="J77" s="34">
        <v>111</v>
      </c>
      <c r="K77" s="34"/>
      <c r="L77" s="34">
        <v>10</v>
      </c>
      <c r="M77" s="34"/>
      <c r="N77" s="34"/>
      <c r="O77" s="34">
        <v>10</v>
      </c>
      <c r="P77" s="76">
        <f>SUM(I77:O77)</f>
        <v>132</v>
      </c>
      <c r="R77" s="30"/>
    </row>
    <row r="78" spans="2:25" ht="17.25" thickTop="1" x14ac:dyDescent="0.3">
      <c r="B78" s="225"/>
      <c r="C78" s="231"/>
      <c r="D78" s="215" t="s">
        <v>50</v>
      </c>
      <c r="E78" s="72" t="s">
        <v>51</v>
      </c>
      <c r="F78" s="17"/>
      <c r="R78" s="30"/>
    </row>
    <row r="79" spans="2:25" x14ac:dyDescent="0.3">
      <c r="B79" s="225"/>
      <c r="C79" s="231"/>
      <c r="D79" s="215"/>
      <c r="E79" s="73" t="s">
        <v>53</v>
      </c>
      <c r="F79" s="70"/>
      <c r="R79" s="30"/>
    </row>
    <row r="80" spans="2:25" x14ac:dyDescent="0.3">
      <c r="B80" s="225"/>
      <c r="C80" s="231"/>
      <c r="D80" s="215"/>
      <c r="E80" s="73" t="s">
        <v>52</v>
      </c>
      <c r="F80" s="70"/>
      <c r="R80" s="30"/>
      <c r="U80" s="212" t="s">
        <v>77</v>
      </c>
      <c r="V80" s="212"/>
      <c r="W80" s="212"/>
      <c r="X80" s="212"/>
    </row>
    <row r="81" spans="2:25" ht="17.25" thickBot="1" x14ac:dyDescent="0.35">
      <c r="B81" s="225"/>
      <c r="C81" s="231"/>
      <c r="D81" s="236"/>
      <c r="E81" s="74" t="s">
        <v>54</v>
      </c>
      <c r="F81" s="23"/>
      <c r="R81" s="30"/>
    </row>
    <row r="82" spans="2:25" ht="17.25" thickTop="1" x14ac:dyDescent="0.3">
      <c r="B82" s="225"/>
      <c r="C82" s="232"/>
      <c r="D82" s="237" t="s">
        <v>55</v>
      </c>
      <c r="E82" s="238"/>
      <c r="F82" s="71"/>
      <c r="R82" s="30"/>
      <c r="T82" s="217" t="s">
        <v>72</v>
      </c>
      <c r="U82" s="218"/>
      <c r="V82" s="218"/>
      <c r="W82" s="218"/>
      <c r="X82" s="218"/>
      <c r="Y82" s="219"/>
    </row>
    <row r="83" spans="2:25" x14ac:dyDescent="0.3">
      <c r="B83" s="22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5"/>
      <c r="T83" s="214" t="s">
        <v>67</v>
      </c>
      <c r="U83" s="220"/>
      <c r="V83" s="215"/>
      <c r="W83" s="214" t="s">
        <v>66</v>
      </c>
      <c r="X83" s="220"/>
      <c r="Y83" s="215"/>
    </row>
    <row r="84" spans="2:25" x14ac:dyDescent="0.3">
      <c r="B84" s="225"/>
      <c r="R84" s="65"/>
      <c r="T84" s="78" t="s">
        <v>68</v>
      </c>
      <c r="U84" s="78" t="s">
        <v>69</v>
      </c>
      <c r="V84" s="78" t="s">
        <v>70</v>
      </c>
      <c r="W84" s="78" t="s">
        <v>68</v>
      </c>
      <c r="X84" s="78" t="s">
        <v>69</v>
      </c>
      <c r="Y84" s="78" t="s">
        <v>70</v>
      </c>
    </row>
    <row r="85" spans="2:25" x14ac:dyDescent="0.3">
      <c r="B85" s="225"/>
      <c r="C85" s="38"/>
      <c r="D85" s="57"/>
      <c r="E85" s="62" t="s">
        <v>29</v>
      </c>
      <c r="F85" s="63" t="s">
        <v>7</v>
      </c>
      <c r="G85" s="63" t="s">
        <v>8</v>
      </c>
      <c r="H85" s="63" t="s">
        <v>9</v>
      </c>
      <c r="I85" s="63" t="s">
        <v>10</v>
      </c>
      <c r="J85" s="63" t="s">
        <v>11</v>
      </c>
      <c r="K85" s="63" t="s">
        <v>12</v>
      </c>
      <c r="L85" s="63" t="s">
        <v>13</v>
      </c>
      <c r="M85" s="63" t="s">
        <v>14</v>
      </c>
      <c r="N85" s="63" t="s">
        <v>15</v>
      </c>
      <c r="O85" s="63" t="s">
        <v>16</v>
      </c>
      <c r="P85" s="64" t="s">
        <v>21</v>
      </c>
      <c r="Q85" s="64" t="s">
        <v>39</v>
      </c>
      <c r="R85" s="63" t="s">
        <v>36</v>
      </c>
      <c r="T85" s="78"/>
      <c r="U85" s="78"/>
      <c r="V85" s="78"/>
      <c r="W85" s="78"/>
      <c r="X85" s="78"/>
      <c r="Y85" s="78"/>
    </row>
    <row r="86" spans="2:25" x14ac:dyDescent="0.3">
      <c r="B86" s="225"/>
      <c r="C86" s="215" t="s">
        <v>43</v>
      </c>
      <c r="D86" s="227" t="s">
        <v>17</v>
      </c>
      <c r="E86" s="12"/>
      <c r="F86" s="17">
        <v>1000</v>
      </c>
      <c r="G86" s="17"/>
      <c r="H86" s="17"/>
      <c r="I86" s="17"/>
      <c r="J86" s="17"/>
      <c r="K86" s="17"/>
      <c r="L86" s="17"/>
      <c r="M86" s="17"/>
      <c r="N86" s="17"/>
      <c r="O86" s="17">
        <v>-500</v>
      </c>
      <c r="P86" s="3">
        <f>SUM(F86:O86)</f>
        <v>500</v>
      </c>
      <c r="Q86" s="221">
        <f>P96/P94*100</f>
        <v>1.5454545454545454</v>
      </c>
      <c r="R86" s="221">
        <f>P104/P94*100</f>
        <v>0.5</v>
      </c>
    </row>
    <row r="87" spans="2:25" x14ac:dyDescent="0.3">
      <c r="B87" s="225"/>
      <c r="C87" s="215"/>
      <c r="D87" s="228"/>
      <c r="E87" s="11"/>
      <c r="F87" s="18" t="s">
        <v>31</v>
      </c>
      <c r="G87" s="16"/>
      <c r="H87" s="16"/>
      <c r="I87" s="16"/>
      <c r="J87" s="16"/>
      <c r="K87" s="16"/>
      <c r="L87" s="16"/>
      <c r="M87" s="16"/>
      <c r="N87" s="16"/>
      <c r="O87" s="18" t="s">
        <v>32</v>
      </c>
      <c r="P87" s="4" t="s">
        <v>33</v>
      </c>
      <c r="Q87" s="222"/>
      <c r="R87" s="222"/>
      <c r="T87" s="217" t="s">
        <v>71</v>
      </c>
      <c r="U87" s="218"/>
      <c r="V87" s="218"/>
      <c r="W87" s="218"/>
      <c r="X87" s="218"/>
      <c r="Y87" s="219"/>
    </row>
    <row r="88" spans="2:25" x14ac:dyDescent="0.3">
      <c r="B88" s="225"/>
      <c r="C88" s="215"/>
      <c r="D88" s="233" t="s">
        <v>20</v>
      </c>
      <c r="E88" s="39"/>
      <c r="F88" s="40"/>
      <c r="G88" s="40">
        <v>5000</v>
      </c>
      <c r="H88" s="40">
        <v>2000</v>
      </c>
      <c r="I88" s="40"/>
      <c r="J88" s="40"/>
      <c r="K88" s="40">
        <v>1500</v>
      </c>
      <c r="L88" s="40"/>
      <c r="M88" s="40">
        <v>2000</v>
      </c>
      <c r="N88" s="40"/>
      <c r="O88" s="40"/>
      <c r="P88" s="41">
        <f>SUM(F88:O88)</f>
        <v>10500</v>
      </c>
      <c r="Q88" s="222"/>
      <c r="R88" s="222"/>
      <c r="T88" s="214" t="s">
        <v>68</v>
      </c>
      <c r="U88" s="215"/>
      <c r="V88" s="214" t="s">
        <v>69</v>
      </c>
      <c r="W88" s="215"/>
      <c r="X88" s="214" t="s">
        <v>70</v>
      </c>
      <c r="Y88" s="215"/>
    </row>
    <row r="89" spans="2:25" x14ac:dyDescent="0.3">
      <c r="B89" s="225"/>
      <c r="C89" s="215"/>
      <c r="D89" s="234"/>
      <c r="E89" s="42"/>
      <c r="F89" s="43"/>
      <c r="G89" s="44" t="s">
        <v>34</v>
      </c>
      <c r="H89" s="44" t="s">
        <v>35</v>
      </c>
      <c r="I89" s="43"/>
      <c r="J89" s="43"/>
      <c r="K89" s="43"/>
      <c r="L89" s="43"/>
      <c r="M89" s="43"/>
      <c r="N89" s="43"/>
      <c r="O89" s="43"/>
      <c r="P89" s="45" t="s">
        <v>31</v>
      </c>
      <c r="Q89" s="222"/>
      <c r="R89" s="222"/>
      <c r="T89" s="214"/>
      <c r="U89" s="215"/>
      <c r="V89" s="214"/>
      <c r="W89" s="215"/>
      <c r="X89" s="214"/>
      <c r="Y89" s="215"/>
    </row>
    <row r="90" spans="2:25" x14ac:dyDescent="0.3">
      <c r="B90" s="225"/>
      <c r="C90" s="215"/>
      <c r="D90" s="227" t="s">
        <v>19</v>
      </c>
      <c r="E90" s="12"/>
      <c r="F90" s="17">
        <v>2500</v>
      </c>
      <c r="G90" s="17"/>
      <c r="H90" s="17"/>
      <c r="I90" s="17">
        <v>2500</v>
      </c>
      <c r="J90" s="17">
        <v>500</v>
      </c>
      <c r="K90" s="17"/>
      <c r="L90" s="17"/>
      <c r="M90" s="17"/>
      <c r="N90" s="17"/>
      <c r="O90" s="17"/>
      <c r="P90" s="3">
        <f>SUM(F90:O90)</f>
        <v>5500</v>
      </c>
      <c r="Q90" s="222"/>
      <c r="R90" s="222"/>
    </row>
    <row r="91" spans="2:25" x14ac:dyDescent="0.3">
      <c r="B91" s="225"/>
      <c r="C91" s="215"/>
      <c r="D91" s="228"/>
      <c r="E91" s="11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"/>
      <c r="Q91" s="222"/>
      <c r="R91" s="222"/>
      <c r="T91" s="217" t="s">
        <v>73</v>
      </c>
      <c r="U91" s="218"/>
      <c r="V91" s="218"/>
      <c r="W91" s="218"/>
      <c r="X91" s="218"/>
      <c r="Y91" s="219"/>
    </row>
    <row r="92" spans="2:25" x14ac:dyDescent="0.3">
      <c r="B92" s="225"/>
      <c r="C92" s="215"/>
      <c r="D92" s="235" t="s">
        <v>18</v>
      </c>
      <c r="E92" s="39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1"/>
      <c r="Q92" s="222"/>
      <c r="R92" s="222"/>
      <c r="T92" s="214" t="s">
        <v>67</v>
      </c>
      <c r="U92" s="220"/>
      <c r="V92" s="215"/>
      <c r="W92" s="214" t="s">
        <v>66</v>
      </c>
      <c r="X92" s="220"/>
      <c r="Y92" s="215"/>
    </row>
    <row r="93" spans="2:25" x14ac:dyDescent="0.3">
      <c r="B93" s="225"/>
      <c r="C93" s="215"/>
      <c r="D93" s="234"/>
      <c r="E93" s="42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6"/>
      <c r="Q93" s="222"/>
      <c r="R93" s="222"/>
      <c r="T93" s="78" t="s">
        <v>68</v>
      </c>
      <c r="U93" s="78" t="s">
        <v>69</v>
      </c>
      <c r="V93" s="78" t="s">
        <v>70</v>
      </c>
      <c r="W93" s="78" t="s">
        <v>68</v>
      </c>
      <c r="X93" s="78" t="s">
        <v>69</v>
      </c>
      <c r="Y93" s="78" t="s">
        <v>70</v>
      </c>
    </row>
    <row r="94" spans="2:25" x14ac:dyDescent="0.3">
      <c r="B94" s="225"/>
      <c r="C94" s="215"/>
      <c r="D94" s="224" t="s">
        <v>22</v>
      </c>
      <c r="E94" s="12"/>
      <c r="F94" s="17">
        <f>SUM(F86:F92)</f>
        <v>3500</v>
      </c>
      <c r="G94" s="17">
        <f t="shared" ref="G94:O94" si="48">SUM(G86:G92)</f>
        <v>5000</v>
      </c>
      <c r="H94" s="17">
        <f t="shared" si="48"/>
        <v>2000</v>
      </c>
      <c r="I94" s="17">
        <f t="shared" si="48"/>
        <v>2500</v>
      </c>
      <c r="J94" s="17">
        <f t="shared" si="48"/>
        <v>500</v>
      </c>
      <c r="K94" s="17">
        <f t="shared" si="48"/>
        <v>1500</v>
      </c>
      <c r="L94" s="17">
        <f t="shared" si="48"/>
        <v>0</v>
      </c>
      <c r="M94" s="17">
        <f t="shared" si="48"/>
        <v>2000</v>
      </c>
      <c r="N94" s="17">
        <f t="shared" si="48"/>
        <v>0</v>
      </c>
      <c r="O94" s="17">
        <f t="shared" si="48"/>
        <v>-500</v>
      </c>
      <c r="P94" s="3">
        <f>SUM(F94:O94)</f>
        <v>16500</v>
      </c>
      <c r="Q94" s="222"/>
      <c r="R94" s="222"/>
      <c r="T94" s="78"/>
      <c r="U94" s="78"/>
      <c r="V94" s="78"/>
      <c r="W94" s="78"/>
      <c r="X94" s="78"/>
      <c r="Y94" s="78"/>
    </row>
    <row r="95" spans="2:25" x14ac:dyDescent="0.3">
      <c r="B95" s="225"/>
      <c r="C95" s="215"/>
      <c r="D95" s="226"/>
      <c r="E95" s="2"/>
      <c r="F95" s="18" t="s">
        <v>31</v>
      </c>
      <c r="G95" s="20" t="s">
        <v>34</v>
      </c>
      <c r="H95" s="20" t="s">
        <v>35</v>
      </c>
      <c r="I95" s="19"/>
      <c r="J95" s="19"/>
      <c r="K95" s="19"/>
      <c r="L95" s="19"/>
      <c r="M95" s="19"/>
      <c r="N95" s="19"/>
      <c r="O95" s="18" t="s">
        <v>32</v>
      </c>
      <c r="P95" s="35" t="s">
        <v>37</v>
      </c>
      <c r="Q95" s="222"/>
      <c r="R95" s="222"/>
    </row>
    <row r="96" spans="2:25" ht="17.25" thickBot="1" x14ac:dyDescent="0.35">
      <c r="B96" s="225"/>
      <c r="C96" s="215"/>
      <c r="D96" s="31" t="s">
        <v>27</v>
      </c>
      <c r="E96" s="14"/>
      <c r="F96" s="22">
        <f>F94*0.5/100</f>
        <v>17.5</v>
      </c>
      <c r="G96" s="22">
        <f>G94*1/100</f>
        <v>50</v>
      </c>
      <c r="H96" s="22">
        <f>H94*1.5/100</f>
        <v>30</v>
      </c>
      <c r="I96" s="22">
        <f>I94*2/100</f>
        <v>50</v>
      </c>
      <c r="J96" s="22">
        <f>J94*2.5/100</f>
        <v>12.5</v>
      </c>
      <c r="K96" s="22">
        <f>K94*3/100</f>
        <v>45</v>
      </c>
      <c r="L96" s="22">
        <f>L94*5/100</f>
        <v>0</v>
      </c>
      <c r="M96" s="22">
        <f>M94*10/100</f>
        <v>200</v>
      </c>
      <c r="N96" s="22">
        <f>N94*20/100</f>
        <v>0</v>
      </c>
      <c r="O96" s="22">
        <f>O94*30/100</f>
        <v>-150</v>
      </c>
      <c r="P96" s="27">
        <f>SUM(F96:O96)</f>
        <v>255</v>
      </c>
      <c r="Q96" s="222"/>
      <c r="R96" s="222"/>
      <c r="T96" s="217" t="s">
        <v>74</v>
      </c>
      <c r="U96" s="218"/>
      <c r="V96" s="218"/>
      <c r="W96" s="218"/>
      <c r="X96" s="218"/>
      <c r="Y96" s="219"/>
    </row>
    <row r="97" spans="2:25" ht="17.25" thickTop="1" x14ac:dyDescent="0.3">
      <c r="B97" s="225"/>
      <c r="C97" s="215"/>
      <c r="D97" s="47" t="s">
        <v>23</v>
      </c>
      <c r="E97" s="39"/>
      <c r="F97" s="40"/>
      <c r="G97" s="40"/>
      <c r="H97" s="40"/>
      <c r="I97" s="40"/>
      <c r="J97" s="40"/>
      <c r="K97" s="40">
        <v>-1000</v>
      </c>
      <c r="L97" s="40"/>
      <c r="M97" s="40"/>
      <c r="N97" s="40"/>
      <c r="O97" s="40"/>
      <c r="P97" s="48">
        <f>SUM(F97:O97)</f>
        <v>-1000</v>
      </c>
      <c r="Q97" s="222"/>
      <c r="R97" s="222"/>
      <c r="T97" s="214" t="s">
        <v>68</v>
      </c>
      <c r="U97" s="215"/>
      <c r="V97" s="214" t="s">
        <v>69</v>
      </c>
      <c r="W97" s="215"/>
      <c r="X97" s="214" t="s">
        <v>70</v>
      </c>
      <c r="Y97" s="215"/>
    </row>
    <row r="98" spans="2:25" x14ac:dyDescent="0.3">
      <c r="B98" s="225"/>
      <c r="C98" s="215"/>
      <c r="D98" s="49"/>
      <c r="E98" s="50"/>
      <c r="F98" s="51"/>
      <c r="G98" s="51"/>
      <c r="H98" s="51"/>
      <c r="I98" s="51"/>
      <c r="J98" s="51"/>
      <c r="K98" s="52" t="s">
        <v>35</v>
      </c>
      <c r="L98" s="51"/>
      <c r="M98" s="51"/>
      <c r="N98" s="51"/>
      <c r="O98" s="51"/>
      <c r="P98" s="53"/>
      <c r="Q98" s="222"/>
      <c r="R98" s="222"/>
      <c r="T98" s="214"/>
      <c r="U98" s="215"/>
      <c r="V98" s="214"/>
      <c r="W98" s="215"/>
      <c r="X98" s="214"/>
      <c r="Y98" s="215"/>
    </row>
    <row r="99" spans="2:25" x14ac:dyDescent="0.3">
      <c r="B99" s="225"/>
      <c r="C99" s="215"/>
      <c r="D99" s="33" t="s">
        <v>24</v>
      </c>
      <c r="E99" s="12"/>
      <c r="F99" s="17"/>
      <c r="G99" s="17"/>
      <c r="H99" s="17"/>
      <c r="I99" s="17"/>
      <c r="J99" s="17"/>
      <c r="K99" s="17"/>
      <c r="L99" s="17"/>
      <c r="M99" s="17">
        <v>-500</v>
      </c>
      <c r="N99" s="17"/>
      <c r="O99" s="17"/>
      <c r="P99" s="10">
        <f>SUM(F99:O99)</f>
        <v>-500</v>
      </c>
      <c r="Q99" s="222"/>
      <c r="R99" s="222"/>
    </row>
    <row r="100" spans="2:25" x14ac:dyDescent="0.3">
      <c r="B100" s="225"/>
      <c r="C100" s="215"/>
      <c r="D100" s="32"/>
      <c r="E100" s="15"/>
      <c r="F100" s="23"/>
      <c r="G100" s="23"/>
      <c r="H100" s="23"/>
      <c r="I100" s="23"/>
      <c r="J100" s="23"/>
      <c r="K100" s="23"/>
      <c r="L100" s="23"/>
      <c r="M100" s="24" t="s">
        <v>31</v>
      </c>
      <c r="N100" s="23"/>
      <c r="O100" s="23"/>
      <c r="P100" s="9"/>
      <c r="Q100" s="222"/>
      <c r="R100" s="222"/>
      <c r="T100" s="217" t="s">
        <v>75</v>
      </c>
      <c r="U100" s="218"/>
      <c r="V100" s="218"/>
      <c r="W100" s="218"/>
      <c r="X100" s="218"/>
      <c r="Y100" s="219"/>
    </row>
    <row r="101" spans="2:25" x14ac:dyDescent="0.3">
      <c r="B101" s="225"/>
      <c r="C101" s="215"/>
      <c r="D101" s="54" t="s">
        <v>25</v>
      </c>
      <c r="E101" s="55">
        <v>5000</v>
      </c>
      <c r="F101" s="56"/>
      <c r="G101" s="56"/>
      <c r="H101" s="56">
        <v>-2000</v>
      </c>
      <c r="I101" s="56">
        <v>-2500</v>
      </c>
      <c r="J101" s="56">
        <v>-500</v>
      </c>
      <c r="K101" s="56"/>
      <c r="L101" s="56"/>
      <c r="M101" s="56"/>
      <c r="N101" s="56"/>
      <c r="O101" s="56"/>
      <c r="P101" s="48">
        <f>SUM(F101:O101)</f>
        <v>-5000</v>
      </c>
      <c r="Q101" s="222"/>
      <c r="R101" s="222"/>
      <c r="T101" s="214" t="s">
        <v>68</v>
      </c>
      <c r="U101" s="215"/>
      <c r="V101" s="214" t="s">
        <v>69</v>
      </c>
      <c r="W101" s="215"/>
      <c r="X101" s="214" t="s">
        <v>70</v>
      </c>
      <c r="Y101" s="215"/>
    </row>
    <row r="102" spans="2:25" x14ac:dyDescent="0.3">
      <c r="B102" s="225"/>
      <c r="C102" s="215"/>
      <c r="D102" s="47"/>
      <c r="E102" s="3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1"/>
      <c r="Q102" s="222"/>
      <c r="R102" s="222"/>
      <c r="T102" s="214"/>
      <c r="U102" s="215"/>
      <c r="V102" s="214"/>
      <c r="W102" s="215"/>
      <c r="X102" s="214"/>
      <c r="Y102" s="215"/>
    </row>
    <row r="103" spans="2:25" ht="17.25" thickBot="1" x14ac:dyDescent="0.35">
      <c r="B103" s="225"/>
      <c r="C103" s="215"/>
      <c r="D103" s="31" t="s">
        <v>26</v>
      </c>
      <c r="E103" s="14">
        <f>E101*0.25/100</f>
        <v>12.5</v>
      </c>
      <c r="F103" s="22">
        <f>F101*0.25/100</f>
        <v>0</v>
      </c>
      <c r="G103" s="22">
        <f>G101*0.25/100</f>
        <v>0</v>
      </c>
      <c r="H103" s="22">
        <f>H101*1.5/100</f>
        <v>-30</v>
      </c>
      <c r="I103" s="22">
        <f>I101*2/100</f>
        <v>-50</v>
      </c>
      <c r="J103" s="22">
        <f>J101*2.5/100</f>
        <v>-12.5</v>
      </c>
      <c r="K103" s="22">
        <f>K97*3/100</f>
        <v>-30</v>
      </c>
      <c r="L103" s="22">
        <f>L101*0.25/100</f>
        <v>0</v>
      </c>
      <c r="M103" s="22">
        <f>M99*10/100</f>
        <v>-50</v>
      </c>
      <c r="N103" s="22">
        <f>N101*0.25/100</f>
        <v>0</v>
      </c>
      <c r="O103" s="22">
        <f>O101*0.25/100</f>
        <v>0</v>
      </c>
      <c r="P103" s="27">
        <f>SUM(F103:O103)</f>
        <v>-172.5</v>
      </c>
      <c r="Q103" s="222"/>
      <c r="R103" s="222"/>
    </row>
    <row r="104" spans="2:25" ht="18" thickTop="1" thickBot="1" x14ac:dyDescent="0.35">
      <c r="B104" s="225"/>
      <c r="C104" s="215"/>
      <c r="D104" s="34" t="s">
        <v>28</v>
      </c>
      <c r="E104" s="25">
        <f>E96+E103</f>
        <v>12.5</v>
      </c>
      <c r="F104" s="26">
        <f t="shared" ref="F104:P104" si="49">F96+F103</f>
        <v>17.5</v>
      </c>
      <c r="G104" s="26">
        <f t="shared" si="49"/>
        <v>50</v>
      </c>
      <c r="H104" s="26">
        <f t="shared" si="49"/>
        <v>0</v>
      </c>
      <c r="I104" s="26">
        <f t="shared" si="49"/>
        <v>0</v>
      </c>
      <c r="J104" s="26">
        <f t="shared" si="49"/>
        <v>0</v>
      </c>
      <c r="K104" s="26">
        <f t="shared" si="49"/>
        <v>15</v>
      </c>
      <c r="L104" s="26">
        <f t="shared" si="49"/>
        <v>0</v>
      </c>
      <c r="M104" s="26">
        <f t="shared" si="49"/>
        <v>150</v>
      </c>
      <c r="N104" s="26">
        <f t="shared" si="49"/>
        <v>0</v>
      </c>
      <c r="O104" s="26">
        <f t="shared" si="49"/>
        <v>-150</v>
      </c>
      <c r="P104" s="28">
        <f t="shared" si="49"/>
        <v>82.5</v>
      </c>
      <c r="Q104" s="223"/>
      <c r="R104" s="223"/>
      <c r="T104" s="216" t="s">
        <v>76</v>
      </c>
      <c r="U104" s="216"/>
      <c r="V104" s="216"/>
      <c r="W104" s="216"/>
      <c r="X104" s="216"/>
      <c r="Y104" s="216"/>
    </row>
    <row r="105" spans="2:25" ht="17.25" thickTop="1" x14ac:dyDescent="0.3">
      <c r="B105" s="225"/>
      <c r="C105" s="215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29"/>
      <c r="T105" s="213" t="s">
        <v>68</v>
      </c>
      <c r="U105" s="213"/>
      <c r="V105" s="213" t="s">
        <v>69</v>
      </c>
      <c r="W105" s="213"/>
      <c r="X105" s="213" t="s">
        <v>70</v>
      </c>
      <c r="Y105" s="213"/>
    </row>
    <row r="106" spans="2:25" ht="17.25" thickBot="1" x14ac:dyDescent="0.35">
      <c r="B106" s="226"/>
      <c r="C106" s="215"/>
      <c r="D106" s="31" t="s">
        <v>30</v>
      </c>
      <c r="E106" s="14"/>
      <c r="F106" s="22"/>
      <c r="G106" s="22"/>
      <c r="H106" s="22">
        <f>H96</f>
        <v>30</v>
      </c>
      <c r="I106" s="22">
        <f>I96</f>
        <v>50</v>
      </c>
      <c r="J106" s="22">
        <f>J96</f>
        <v>12.5</v>
      </c>
      <c r="K106" s="22"/>
      <c r="L106" s="22"/>
      <c r="M106" s="22"/>
      <c r="N106" s="22"/>
      <c r="O106" s="22"/>
      <c r="P106" s="37">
        <f>SUM(E106:O106)</f>
        <v>92.5</v>
      </c>
      <c r="Q106" s="1"/>
      <c r="R106" s="5"/>
      <c r="T106" s="213"/>
      <c r="U106" s="213"/>
      <c r="V106" s="213"/>
      <c r="W106" s="213"/>
      <c r="X106" s="213"/>
      <c r="Y106" s="213"/>
    </row>
    <row r="107" spans="2:25" ht="17.25" thickTop="1" x14ac:dyDescent="0.3"/>
  </sheetData>
  <mergeCells count="75">
    <mergeCell ref="Q86:Q104"/>
    <mergeCell ref="D54:D55"/>
    <mergeCell ref="Q54:Q72"/>
    <mergeCell ref="D76:D77"/>
    <mergeCell ref="D78:D81"/>
    <mergeCell ref="D82:E82"/>
    <mergeCell ref="O75:P75"/>
    <mergeCell ref="D88:D89"/>
    <mergeCell ref="D90:D91"/>
    <mergeCell ref="D92:D93"/>
    <mergeCell ref="D94:D95"/>
    <mergeCell ref="D56:D57"/>
    <mergeCell ref="D58:D59"/>
    <mergeCell ref="D60:D61"/>
    <mergeCell ref="D62:D63"/>
    <mergeCell ref="R8:R26"/>
    <mergeCell ref="D8:D9"/>
    <mergeCell ref="D10:D11"/>
    <mergeCell ref="D12:D13"/>
    <mergeCell ref="D14:D15"/>
    <mergeCell ref="D16:D17"/>
    <mergeCell ref="Q8:Q26"/>
    <mergeCell ref="Q31:Q49"/>
    <mergeCell ref="R31:R49"/>
    <mergeCell ref="D33:D34"/>
    <mergeCell ref="D35:D36"/>
    <mergeCell ref="D37:D38"/>
    <mergeCell ref="D39:D40"/>
    <mergeCell ref="B8:B106"/>
    <mergeCell ref="C31:C51"/>
    <mergeCell ref="D31:D32"/>
    <mergeCell ref="C8:C28"/>
    <mergeCell ref="C86:C106"/>
    <mergeCell ref="D86:D87"/>
    <mergeCell ref="C54:C82"/>
    <mergeCell ref="R54:R72"/>
    <mergeCell ref="R86:R104"/>
    <mergeCell ref="T88:U88"/>
    <mergeCell ref="V88:W88"/>
    <mergeCell ref="X88:Y88"/>
    <mergeCell ref="T89:U89"/>
    <mergeCell ref="V89:W89"/>
    <mergeCell ref="X89:Y89"/>
    <mergeCell ref="T91:Y91"/>
    <mergeCell ref="T92:V92"/>
    <mergeCell ref="W92:Y92"/>
    <mergeCell ref="T96:Y96"/>
    <mergeCell ref="T100:Y100"/>
    <mergeCell ref="T82:Y82"/>
    <mergeCell ref="T83:V83"/>
    <mergeCell ref="W83:Y83"/>
    <mergeCell ref="T87:Y87"/>
    <mergeCell ref="T106:U106"/>
    <mergeCell ref="V106:W106"/>
    <mergeCell ref="X106:Y106"/>
    <mergeCell ref="T104:Y104"/>
    <mergeCell ref="T105:U105"/>
    <mergeCell ref="V105:W105"/>
    <mergeCell ref="X105:Y105"/>
    <mergeCell ref="U80:X80"/>
    <mergeCell ref="T7:Y7"/>
    <mergeCell ref="T30:Y30"/>
    <mergeCell ref="T53:Y53"/>
    <mergeCell ref="T102:U102"/>
    <mergeCell ref="V102:W102"/>
    <mergeCell ref="X102:Y102"/>
    <mergeCell ref="T98:U98"/>
    <mergeCell ref="V98:W98"/>
    <mergeCell ref="T101:U101"/>
    <mergeCell ref="V101:W101"/>
    <mergeCell ref="X101:Y101"/>
    <mergeCell ref="T97:U97"/>
    <mergeCell ref="V97:W97"/>
    <mergeCell ref="X97:Y97"/>
    <mergeCell ref="X98:Y98"/>
  </mergeCells>
  <phoneticPr fontId="1" type="noConversion"/>
  <printOptions horizontalCentered="1" verticalCentered="1"/>
  <pageMargins left="0" right="0" top="0.74803149606299213" bottom="0.74803149606299213" header="0.11811023622047245" footer="0.11811023622047245"/>
  <pageSetup paperSize="9" scale="3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BA62-8AB0-40F7-A5ED-F6DC131609C2}">
  <sheetPr>
    <pageSetUpPr fitToPage="1"/>
  </sheetPr>
  <dimension ref="B5:T98"/>
  <sheetViews>
    <sheetView topLeftCell="A35" zoomScale="70" zoomScaleNormal="70" workbookViewId="0">
      <selection activeCell="C8" sqref="C8:C51"/>
    </sheetView>
  </sheetViews>
  <sheetFormatPr defaultRowHeight="16.5" x14ac:dyDescent="0.3"/>
  <cols>
    <col min="2" max="2" width="13" bestFit="1" customWidth="1"/>
    <col min="3" max="3" width="13" customWidth="1"/>
    <col min="4" max="4" width="12.75" customWidth="1"/>
    <col min="5" max="5" width="16.375" bestFit="1" customWidth="1"/>
    <col min="6" max="6" width="13.125" customWidth="1"/>
    <col min="18" max="18" width="12.125" bestFit="1" customWidth="1"/>
    <col min="19" max="19" width="11.625" bestFit="1" customWidth="1"/>
  </cols>
  <sheetData>
    <row r="5" spans="2:20" x14ac:dyDescent="0.3">
      <c r="Q5" s="1"/>
      <c r="R5" s="1"/>
      <c r="S5" s="4" t="s">
        <v>38</v>
      </c>
    </row>
    <row r="7" spans="2:20" x14ac:dyDescent="0.3">
      <c r="B7" s="58" t="s">
        <v>0</v>
      </c>
      <c r="C7" s="38"/>
      <c r="D7" s="38"/>
      <c r="E7" s="57"/>
      <c r="F7" s="62" t="s">
        <v>29</v>
      </c>
      <c r="G7" s="63" t="s">
        <v>7</v>
      </c>
      <c r="H7" s="63" t="s">
        <v>8</v>
      </c>
      <c r="I7" s="63" t="s">
        <v>9</v>
      </c>
      <c r="J7" s="63" t="s">
        <v>10</v>
      </c>
      <c r="K7" s="63" t="s">
        <v>11</v>
      </c>
      <c r="L7" s="63" t="s">
        <v>12</v>
      </c>
      <c r="M7" s="63" t="s">
        <v>13</v>
      </c>
      <c r="N7" s="63" t="s">
        <v>14</v>
      </c>
      <c r="O7" s="63" t="s">
        <v>15</v>
      </c>
      <c r="P7" s="63" t="s">
        <v>16</v>
      </c>
      <c r="Q7" s="64" t="s">
        <v>21</v>
      </c>
      <c r="R7" s="64" t="s">
        <v>39</v>
      </c>
      <c r="S7" s="63" t="s">
        <v>36</v>
      </c>
      <c r="T7" s="1"/>
    </row>
    <row r="8" spans="2:20" x14ac:dyDescent="0.3">
      <c r="B8" s="224" t="s">
        <v>2</v>
      </c>
      <c r="C8" s="224" t="s">
        <v>4</v>
      </c>
      <c r="D8" s="229" t="s">
        <v>6</v>
      </c>
      <c r="E8" s="227" t="s">
        <v>17</v>
      </c>
      <c r="F8" s="12"/>
      <c r="G8" s="17">
        <v>1000</v>
      </c>
      <c r="H8" s="17"/>
      <c r="I8" s="17"/>
      <c r="J8" s="17"/>
      <c r="K8" s="17"/>
      <c r="L8" s="17"/>
      <c r="M8" s="17"/>
      <c r="N8" s="17"/>
      <c r="O8" s="17"/>
      <c r="P8" s="17">
        <v>-500</v>
      </c>
      <c r="Q8" s="3">
        <f t="shared" ref="Q8:Q12" si="0">SUM(G8:P8)</f>
        <v>500</v>
      </c>
      <c r="R8" s="221">
        <f>Q18/Q16*100</f>
        <v>1.5454545454545454</v>
      </c>
      <c r="S8" s="221">
        <f>Q26/Q16*100</f>
        <v>0.5</v>
      </c>
      <c r="T8" s="2"/>
    </row>
    <row r="9" spans="2:20" x14ac:dyDescent="0.3">
      <c r="B9" s="225"/>
      <c r="C9" s="225"/>
      <c r="D9" s="215"/>
      <c r="E9" s="228"/>
      <c r="F9" s="11"/>
      <c r="G9" s="18" t="s">
        <v>31</v>
      </c>
      <c r="H9" s="16"/>
      <c r="I9" s="16"/>
      <c r="J9" s="16"/>
      <c r="K9" s="16"/>
      <c r="L9" s="16"/>
      <c r="M9" s="16"/>
      <c r="N9" s="16"/>
      <c r="O9" s="16"/>
      <c r="P9" s="18" t="s">
        <v>32</v>
      </c>
      <c r="Q9" s="4" t="s">
        <v>33</v>
      </c>
      <c r="R9" s="222"/>
      <c r="S9" s="222"/>
      <c r="T9" s="2"/>
    </row>
    <row r="10" spans="2:20" x14ac:dyDescent="0.3">
      <c r="B10" s="225"/>
      <c r="C10" s="225"/>
      <c r="D10" s="215"/>
      <c r="E10" s="233" t="s">
        <v>20</v>
      </c>
      <c r="F10" s="39"/>
      <c r="G10" s="40"/>
      <c r="H10" s="40">
        <v>5000</v>
      </c>
      <c r="I10" s="40">
        <v>2000</v>
      </c>
      <c r="J10" s="40"/>
      <c r="K10" s="40"/>
      <c r="L10" s="40">
        <v>1500</v>
      </c>
      <c r="M10" s="40"/>
      <c r="N10" s="40">
        <v>2000</v>
      </c>
      <c r="O10" s="40"/>
      <c r="P10" s="40"/>
      <c r="Q10" s="41">
        <f t="shared" si="0"/>
        <v>10500</v>
      </c>
      <c r="R10" s="222"/>
      <c r="S10" s="222"/>
      <c r="T10" s="2"/>
    </row>
    <row r="11" spans="2:20" x14ac:dyDescent="0.3">
      <c r="B11" s="225"/>
      <c r="C11" s="225"/>
      <c r="D11" s="215"/>
      <c r="E11" s="234"/>
      <c r="F11" s="42"/>
      <c r="G11" s="43"/>
      <c r="H11" s="44" t="s">
        <v>34</v>
      </c>
      <c r="I11" s="44" t="s">
        <v>35</v>
      </c>
      <c r="J11" s="43"/>
      <c r="K11" s="43"/>
      <c r="L11" s="43"/>
      <c r="M11" s="43"/>
      <c r="N11" s="43"/>
      <c r="O11" s="43"/>
      <c r="P11" s="43"/>
      <c r="Q11" s="45" t="s">
        <v>31</v>
      </c>
      <c r="R11" s="222"/>
      <c r="S11" s="222"/>
      <c r="T11" s="2"/>
    </row>
    <row r="12" spans="2:20" x14ac:dyDescent="0.3">
      <c r="B12" s="225"/>
      <c r="C12" s="225"/>
      <c r="D12" s="215"/>
      <c r="E12" s="227" t="s">
        <v>19</v>
      </c>
      <c r="F12" s="12"/>
      <c r="G12" s="17">
        <v>2500</v>
      </c>
      <c r="H12" s="17"/>
      <c r="I12" s="17"/>
      <c r="J12" s="17">
        <v>2500</v>
      </c>
      <c r="K12" s="17">
        <v>500</v>
      </c>
      <c r="L12" s="17"/>
      <c r="M12" s="17"/>
      <c r="N12" s="17"/>
      <c r="O12" s="17"/>
      <c r="P12" s="17"/>
      <c r="Q12" s="3">
        <f t="shared" si="0"/>
        <v>5500</v>
      </c>
      <c r="R12" s="222"/>
      <c r="S12" s="222"/>
      <c r="T12" s="2"/>
    </row>
    <row r="13" spans="2:20" x14ac:dyDescent="0.3">
      <c r="B13" s="225"/>
      <c r="C13" s="225"/>
      <c r="D13" s="215"/>
      <c r="E13" s="228"/>
      <c r="F13" s="1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"/>
      <c r="R13" s="222"/>
      <c r="S13" s="222"/>
      <c r="T13" s="2"/>
    </row>
    <row r="14" spans="2:20" x14ac:dyDescent="0.3">
      <c r="B14" s="225"/>
      <c r="C14" s="225"/>
      <c r="D14" s="215"/>
      <c r="E14" s="235" t="s">
        <v>18</v>
      </c>
      <c r="F14" s="39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1"/>
      <c r="R14" s="222"/>
      <c r="S14" s="222"/>
      <c r="T14" s="2"/>
    </row>
    <row r="15" spans="2:20" x14ac:dyDescent="0.3">
      <c r="B15" s="225"/>
      <c r="C15" s="225"/>
      <c r="D15" s="215"/>
      <c r="E15" s="234"/>
      <c r="F15" s="42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6"/>
      <c r="R15" s="222"/>
      <c r="S15" s="222"/>
      <c r="T15" s="2"/>
    </row>
    <row r="16" spans="2:20" x14ac:dyDescent="0.3">
      <c r="B16" s="225"/>
      <c r="C16" s="225"/>
      <c r="D16" s="215"/>
      <c r="E16" s="224" t="s">
        <v>22</v>
      </c>
      <c r="F16" s="12"/>
      <c r="G16" s="17">
        <f>SUM(G8:G14)</f>
        <v>3500</v>
      </c>
      <c r="H16" s="17">
        <f t="shared" ref="H16:P16" si="1">SUM(H8:H14)</f>
        <v>5000</v>
      </c>
      <c r="I16" s="17">
        <f t="shared" si="1"/>
        <v>2000</v>
      </c>
      <c r="J16" s="17">
        <f t="shared" si="1"/>
        <v>2500</v>
      </c>
      <c r="K16" s="17">
        <f t="shared" si="1"/>
        <v>500</v>
      </c>
      <c r="L16" s="17">
        <f t="shared" si="1"/>
        <v>1500</v>
      </c>
      <c r="M16" s="17">
        <f t="shared" si="1"/>
        <v>0</v>
      </c>
      <c r="N16" s="17">
        <f t="shared" si="1"/>
        <v>2000</v>
      </c>
      <c r="O16" s="17">
        <f t="shared" si="1"/>
        <v>0</v>
      </c>
      <c r="P16" s="17">
        <f t="shared" si="1"/>
        <v>-500</v>
      </c>
      <c r="Q16" s="3">
        <f>SUM(G16:P16)</f>
        <v>16500</v>
      </c>
      <c r="R16" s="222"/>
      <c r="S16" s="222"/>
      <c r="T16" s="2"/>
    </row>
    <row r="17" spans="2:20" x14ac:dyDescent="0.3">
      <c r="B17" s="225"/>
      <c r="C17" s="225"/>
      <c r="D17" s="215"/>
      <c r="E17" s="226"/>
      <c r="F17" s="2"/>
      <c r="G17" s="18" t="s">
        <v>31</v>
      </c>
      <c r="H17" s="20" t="s">
        <v>34</v>
      </c>
      <c r="I17" s="20" t="s">
        <v>35</v>
      </c>
      <c r="J17" s="19"/>
      <c r="K17" s="19"/>
      <c r="L17" s="19"/>
      <c r="M17" s="19"/>
      <c r="N17" s="19"/>
      <c r="O17" s="19"/>
      <c r="P17" s="18" t="s">
        <v>32</v>
      </c>
      <c r="Q17" s="35" t="s">
        <v>37</v>
      </c>
      <c r="R17" s="222"/>
      <c r="S17" s="222"/>
      <c r="T17" s="2"/>
    </row>
    <row r="18" spans="2:20" ht="17.25" thickBot="1" x14ac:dyDescent="0.35">
      <c r="B18" s="225"/>
      <c r="C18" s="225"/>
      <c r="D18" s="215"/>
      <c r="E18" s="31" t="s">
        <v>27</v>
      </c>
      <c r="F18" s="14"/>
      <c r="G18" s="22">
        <f>G16*0.5/100</f>
        <v>17.5</v>
      </c>
      <c r="H18" s="22">
        <f>H16*1/100</f>
        <v>50</v>
      </c>
      <c r="I18" s="22">
        <f>I16*1.5/100</f>
        <v>30</v>
      </c>
      <c r="J18" s="22">
        <f>J16*2/100</f>
        <v>50</v>
      </c>
      <c r="K18" s="22">
        <f>K16*2.5/100</f>
        <v>12.5</v>
      </c>
      <c r="L18" s="22">
        <f>L16*3/100</f>
        <v>45</v>
      </c>
      <c r="M18" s="22">
        <f>M16*5/100</f>
        <v>0</v>
      </c>
      <c r="N18" s="22">
        <f>N16*10/100</f>
        <v>200</v>
      </c>
      <c r="O18" s="22">
        <f>O16*20/100</f>
        <v>0</v>
      </c>
      <c r="P18" s="22">
        <f>P16*30/100</f>
        <v>-150</v>
      </c>
      <c r="Q18" s="27">
        <f>SUM(G18:P18)</f>
        <v>255</v>
      </c>
      <c r="R18" s="222"/>
      <c r="S18" s="222"/>
      <c r="T18" s="2"/>
    </row>
    <row r="19" spans="2:20" ht="17.25" thickTop="1" x14ac:dyDescent="0.3">
      <c r="B19" s="225"/>
      <c r="C19" s="225"/>
      <c r="D19" s="215"/>
      <c r="E19" s="47" t="s">
        <v>23</v>
      </c>
      <c r="F19" s="39"/>
      <c r="G19" s="40"/>
      <c r="H19" s="40"/>
      <c r="I19" s="40"/>
      <c r="J19" s="40"/>
      <c r="K19" s="40"/>
      <c r="L19" s="40">
        <v>-1000</v>
      </c>
      <c r="M19" s="40"/>
      <c r="N19" s="40"/>
      <c r="O19" s="40"/>
      <c r="P19" s="40"/>
      <c r="Q19" s="48">
        <f>SUM(G19:P19)</f>
        <v>-1000</v>
      </c>
      <c r="R19" s="222"/>
      <c r="S19" s="222"/>
      <c r="T19" s="2"/>
    </row>
    <row r="20" spans="2:20" x14ac:dyDescent="0.3">
      <c r="B20" s="225"/>
      <c r="C20" s="225"/>
      <c r="D20" s="215"/>
      <c r="E20" s="49"/>
      <c r="F20" s="50"/>
      <c r="G20" s="51"/>
      <c r="H20" s="51"/>
      <c r="I20" s="51"/>
      <c r="J20" s="51"/>
      <c r="K20" s="51"/>
      <c r="L20" s="52" t="s">
        <v>35</v>
      </c>
      <c r="M20" s="51"/>
      <c r="N20" s="51"/>
      <c r="O20" s="51"/>
      <c r="P20" s="51"/>
      <c r="Q20" s="53"/>
      <c r="R20" s="222"/>
      <c r="S20" s="222"/>
      <c r="T20" s="2"/>
    </row>
    <row r="21" spans="2:20" x14ac:dyDescent="0.3">
      <c r="B21" s="225"/>
      <c r="C21" s="225"/>
      <c r="D21" s="215"/>
      <c r="E21" s="33" t="s">
        <v>24</v>
      </c>
      <c r="F21" s="12"/>
      <c r="G21" s="17"/>
      <c r="H21" s="17"/>
      <c r="I21" s="17"/>
      <c r="J21" s="17"/>
      <c r="K21" s="17"/>
      <c r="L21" s="17"/>
      <c r="M21" s="17"/>
      <c r="N21" s="17">
        <v>-500</v>
      </c>
      <c r="O21" s="17"/>
      <c r="P21" s="17"/>
      <c r="Q21" s="10">
        <f>SUM(G21:P21)</f>
        <v>-500</v>
      </c>
      <c r="R21" s="222"/>
      <c r="S21" s="222"/>
      <c r="T21" s="2"/>
    </row>
    <row r="22" spans="2:20" x14ac:dyDescent="0.3">
      <c r="B22" s="225"/>
      <c r="C22" s="225"/>
      <c r="D22" s="215"/>
      <c r="E22" s="32"/>
      <c r="F22" s="15"/>
      <c r="G22" s="23"/>
      <c r="H22" s="23"/>
      <c r="I22" s="23"/>
      <c r="J22" s="23"/>
      <c r="K22" s="23"/>
      <c r="L22" s="23"/>
      <c r="M22" s="23"/>
      <c r="N22" s="24" t="s">
        <v>31</v>
      </c>
      <c r="O22" s="23"/>
      <c r="P22" s="23"/>
      <c r="Q22" s="9"/>
      <c r="R22" s="222"/>
      <c r="S22" s="222"/>
      <c r="T22" s="2"/>
    </row>
    <row r="23" spans="2:20" x14ac:dyDescent="0.3">
      <c r="B23" s="225"/>
      <c r="C23" s="225"/>
      <c r="D23" s="215"/>
      <c r="E23" s="54" t="s">
        <v>25</v>
      </c>
      <c r="F23" s="55">
        <v>5000</v>
      </c>
      <c r="G23" s="56"/>
      <c r="H23" s="56"/>
      <c r="I23" s="56">
        <v>-2000</v>
      </c>
      <c r="J23" s="56">
        <v>-2500</v>
      </c>
      <c r="K23" s="56">
        <v>-500</v>
      </c>
      <c r="L23" s="56"/>
      <c r="M23" s="56"/>
      <c r="N23" s="56"/>
      <c r="O23" s="56"/>
      <c r="P23" s="56"/>
      <c r="Q23" s="48">
        <f>SUM(G23:P23)</f>
        <v>-5000</v>
      </c>
      <c r="R23" s="222"/>
      <c r="S23" s="222"/>
      <c r="T23" s="2"/>
    </row>
    <row r="24" spans="2:20" x14ac:dyDescent="0.3">
      <c r="B24" s="225"/>
      <c r="C24" s="225"/>
      <c r="D24" s="215"/>
      <c r="E24" s="47"/>
      <c r="F24" s="39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222"/>
      <c r="S24" s="222"/>
      <c r="T24" s="2"/>
    </row>
    <row r="25" spans="2:20" ht="17.25" thickBot="1" x14ac:dyDescent="0.35">
      <c r="B25" s="225"/>
      <c r="C25" s="225"/>
      <c r="D25" s="215"/>
      <c r="E25" s="31" t="s">
        <v>26</v>
      </c>
      <c r="F25" s="14">
        <f>F23*0.25/100</f>
        <v>12.5</v>
      </c>
      <c r="G25" s="22">
        <f>G23*0.25/100</f>
        <v>0</v>
      </c>
      <c r="H25" s="22">
        <f>H23*0.25/100</f>
        <v>0</v>
      </c>
      <c r="I25" s="22">
        <f>I23*1.5/100</f>
        <v>-30</v>
      </c>
      <c r="J25" s="22">
        <f>J23*2/100</f>
        <v>-50</v>
      </c>
      <c r="K25" s="22">
        <f>K23*2.5/100</f>
        <v>-12.5</v>
      </c>
      <c r="L25" s="22">
        <f>L19*3/100</f>
        <v>-30</v>
      </c>
      <c r="M25" s="22">
        <f>M23*0.25/100</f>
        <v>0</v>
      </c>
      <c r="N25" s="22">
        <f>N21*10/100</f>
        <v>-50</v>
      </c>
      <c r="O25" s="22">
        <f>O23*0.25/100</f>
        <v>0</v>
      </c>
      <c r="P25" s="22">
        <f>P23*0.25/100</f>
        <v>0</v>
      </c>
      <c r="Q25" s="27">
        <f>SUM(G25:P25)</f>
        <v>-172.5</v>
      </c>
      <c r="R25" s="222"/>
      <c r="S25" s="222"/>
      <c r="T25" s="2"/>
    </row>
    <row r="26" spans="2:20" ht="18" thickTop="1" thickBot="1" x14ac:dyDescent="0.35">
      <c r="B26" s="225"/>
      <c r="C26" s="225"/>
      <c r="D26" s="215"/>
      <c r="E26" s="34" t="s">
        <v>28</v>
      </c>
      <c r="F26" s="25">
        <f>F18+F25</f>
        <v>12.5</v>
      </c>
      <c r="G26" s="26">
        <f t="shared" ref="G26:Q26" si="2">G18+G25</f>
        <v>17.5</v>
      </c>
      <c r="H26" s="26">
        <f t="shared" si="2"/>
        <v>50</v>
      </c>
      <c r="I26" s="26">
        <f t="shared" si="2"/>
        <v>0</v>
      </c>
      <c r="J26" s="26">
        <f t="shared" si="2"/>
        <v>0</v>
      </c>
      <c r="K26" s="26">
        <f t="shared" si="2"/>
        <v>0</v>
      </c>
      <c r="L26" s="26">
        <f t="shared" si="2"/>
        <v>15</v>
      </c>
      <c r="M26" s="26">
        <f t="shared" si="2"/>
        <v>0</v>
      </c>
      <c r="N26" s="26">
        <f t="shared" si="2"/>
        <v>150</v>
      </c>
      <c r="O26" s="26">
        <f t="shared" si="2"/>
        <v>0</v>
      </c>
      <c r="P26" s="26">
        <f t="shared" si="2"/>
        <v>-150</v>
      </c>
      <c r="Q26" s="28">
        <f t="shared" si="2"/>
        <v>82.5</v>
      </c>
      <c r="R26" s="223"/>
      <c r="S26" s="223"/>
      <c r="T26" s="2"/>
    </row>
    <row r="27" spans="2:20" ht="17.25" thickTop="1" x14ac:dyDescent="0.3">
      <c r="B27" s="225"/>
      <c r="C27" s="225"/>
      <c r="D27" s="215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29"/>
    </row>
    <row r="28" spans="2:20" ht="17.25" thickBot="1" x14ac:dyDescent="0.35">
      <c r="B28" s="225"/>
      <c r="C28" s="225"/>
      <c r="D28" s="215"/>
      <c r="E28" s="31" t="s">
        <v>30</v>
      </c>
      <c r="F28" s="14"/>
      <c r="G28" s="22"/>
      <c r="H28" s="22"/>
      <c r="I28" s="22">
        <f>I18</f>
        <v>30</v>
      </c>
      <c r="J28" s="22">
        <f>J18</f>
        <v>50</v>
      </c>
      <c r="K28" s="22">
        <f>K18</f>
        <v>12.5</v>
      </c>
      <c r="L28" s="22"/>
      <c r="M28" s="22"/>
      <c r="N28" s="22"/>
      <c r="O28" s="22"/>
      <c r="P28" s="22"/>
      <c r="Q28" s="37">
        <f>SUM(F28:P28)</f>
        <v>92.5</v>
      </c>
      <c r="R28" s="1"/>
      <c r="S28" s="5"/>
    </row>
    <row r="29" spans="2:20" ht="17.25" thickTop="1" x14ac:dyDescent="0.3">
      <c r="B29" s="225"/>
      <c r="C29" s="225"/>
      <c r="S29" s="65"/>
    </row>
    <row r="30" spans="2:20" x14ac:dyDescent="0.3">
      <c r="B30" s="225"/>
      <c r="C30" s="225"/>
      <c r="D30" s="38"/>
      <c r="E30" s="57"/>
      <c r="F30" s="62" t="s">
        <v>29</v>
      </c>
      <c r="G30" s="63" t="s">
        <v>7</v>
      </c>
      <c r="H30" s="63" t="s">
        <v>8</v>
      </c>
      <c r="I30" s="63" t="s">
        <v>9</v>
      </c>
      <c r="J30" s="63" t="s">
        <v>10</v>
      </c>
      <c r="K30" s="63" t="s">
        <v>11</v>
      </c>
      <c r="L30" s="63" t="s">
        <v>12</v>
      </c>
      <c r="M30" s="63" t="s">
        <v>13</v>
      </c>
      <c r="N30" s="63" t="s">
        <v>14</v>
      </c>
      <c r="O30" s="63" t="s">
        <v>15</v>
      </c>
      <c r="P30" s="63" t="s">
        <v>16</v>
      </c>
      <c r="Q30" s="64" t="s">
        <v>21</v>
      </c>
      <c r="R30" s="64" t="s">
        <v>39</v>
      </c>
      <c r="S30" s="63" t="s">
        <v>36</v>
      </c>
    </row>
    <row r="31" spans="2:20" x14ac:dyDescent="0.3">
      <c r="B31" s="225"/>
      <c r="C31" s="225"/>
      <c r="D31" s="215" t="s">
        <v>44</v>
      </c>
      <c r="E31" s="227" t="s">
        <v>17</v>
      </c>
      <c r="F31" s="12"/>
      <c r="G31" s="17">
        <v>1000</v>
      </c>
      <c r="H31" s="17"/>
      <c r="I31" s="17"/>
      <c r="J31" s="17"/>
      <c r="K31" s="17"/>
      <c r="L31" s="17"/>
      <c r="M31" s="17"/>
      <c r="N31" s="17"/>
      <c r="O31" s="17"/>
      <c r="P31" s="17">
        <v>-500</v>
      </c>
      <c r="Q31" s="3">
        <f t="shared" ref="Q31" si="3">SUM(G31:P31)</f>
        <v>500</v>
      </c>
      <c r="R31" s="221">
        <f>Q41/Q39*100</f>
        <v>1.5454545454545454</v>
      </c>
      <c r="S31" s="221">
        <f>Q49/Q39*100</f>
        <v>0.5</v>
      </c>
    </row>
    <row r="32" spans="2:20" x14ac:dyDescent="0.3">
      <c r="B32" s="225"/>
      <c r="C32" s="225"/>
      <c r="D32" s="215"/>
      <c r="E32" s="228"/>
      <c r="F32" s="11"/>
      <c r="G32" s="18" t="s">
        <v>31</v>
      </c>
      <c r="H32" s="16"/>
      <c r="I32" s="16"/>
      <c r="J32" s="16"/>
      <c r="K32" s="16"/>
      <c r="L32" s="16"/>
      <c r="M32" s="16"/>
      <c r="N32" s="16"/>
      <c r="O32" s="16"/>
      <c r="P32" s="18" t="s">
        <v>32</v>
      </c>
      <c r="Q32" s="4" t="s">
        <v>33</v>
      </c>
      <c r="R32" s="222"/>
      <c r="S32" s="222"/>
    </row>
    <row r="33" spans="2:19" x14ac:dyDescent="0.3">
      <c r="B33" s="225"/>
      <c r="C33" s="225"/>
      <c r="D33" s="215"/>
      <c r="E33" s="233" t="s">
        <v>20</v>
      </c>
      <c r="F33" s="39"/>
      <c r="G33" s="40"/>
      <c r="H33" s="40">
        <v>5000</v>
      </c>
      <c r="I33" s="40">
        <v>2000</v>
      </c>
      <c r="J33" s="40"/>
      <c r="K33" s="40"/>
      <c r="L33" s="40">
        <v>1500</v>
      </c>
      <c r="M33" s="40"/>
      <c r="N33" s="40">
        <v>2000</v>
      </c>
      <c r="O33" s="40"/>
      <c r="P33" s="40"/>
      <c r="Q33" s="41">
        <f t="shared" ref="Q33" si="4">SUM(G33:P33)</f>
        <v>10500</v>
      </c>
      <c r="R33" s="222"/>
      <c r="S33" s="222"/>
    </row>
    <row r="34" spans="2:19" x14ac:dyDescent="0.3">
      <c r="B34" s="225"/>
      <c r="C34" s="225"/>
      <c r="D34" s="215"/>
      <c r="E34" s="234"/>
      <c r="F34" s="42"/>
      <c r="G34" s="43"/>
      <c r="H34" s="44" t="s">
        <v>34</v>
      </c>
      <c r="I34" s="44" t="s">
        <v>35</v>
      </c>
      <c r="J34" s="43"/>
      <c r="K34" s="43"/>
      <c r="L34" s="43"/>
      <c r="M34" s="43"/>
      <c r="N34" s="43"/>
      <c r="O34" s="43"/>
      <c r="P34" s="43"/>
      <c r="Q34" s="45" t="s">
        <v>31</v>
      </c>
      <c r="R34" s="222"/>
      <c r="S34" s="222"/>
    </row>
    <row r="35" spans="2:19" x14ac:dyDescent="0.3">
      <c r="B35" s="225"/>
      <c r="C35" s="225"/>
      <c r="D35" s="215"/>
      <c r="E35" s="227" t="s">
        <v>19</v>
      </c>
      <c r="F35" s="12"/>
      <c r="G35" s="17">
        <v>2500</v>
      </c>
      <c r="H35" s="17"/>
      <c r="I35" s="17"/>
      <c r="J35" s="17">
        <v>2500</v>
      </c>
      <c r="K35" s="17">
        <v>500</v>
      </c>
      <c r="L35" s="17"/>
      <c r="M35" s="17"/>
      <c r="N35" s="17"/>
      <c r="O35" s="17"/>
      <c r="P35" s="17"/>
      <c r="Q35" s="3">
        <f t="shared" ref="Q35" si="5">SUM(G35:P35)</f>
        <v>5500</v>
      </c>
      <c r="R35" s="222"/>
      <c r="S35" s="222"/>
    </row>
    <row r="36" spans="2:19" x14ac:dyDescent="0.3">
      <c r="B36" s="225"/>
      <c r="C36" s="225"/>
      <c r="D36" s="215"/>
      <c r="E36" s="228"/>
      <c r="F36" s="11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"/>
      <c r="R36" s="222"/>
      <c r="S36" s="222"/>
    </row>
    <row r="37" spans="2:19" x14ac:dyDescent="0.3">
      <c r="B37" s="225"/>
      <c r="C37" s="225"/>
      <c r="D37" s="215"/>
      <c r="E37" s="235" t="s">
        <v>18</v>
      </c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/>
      <c r="R37" s="222"/>
      <c r="S37" s="222"/>
    </row>
    <row r="38" spans="2:19" x14ac:dyDescent="0.3">
      <c r="B38" s="225"/>
      <c r="C38" s="225"/>
      <c r="D38" s="215"/>
      <c r="E38" s="234"/>
      <c r="F38" s="42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6"/>
      <c r="R38" s="222"/>
      <c r="S38" s="222"/>
    </row>
    <row r="39" spans="2:19" x14ac:dyDescent="0.3">
      <c r="B39" s="225"/>
      <c r="C39" s="225"/>
      <c r="D39" s="215"/>
      <c r="E39" s="224" t="s">
        <v>22</v>
      </c>
      <c r="F39" s="12"/>
      <c r="G39" s="17">
        <f>SUM(G31:G37)</f>
        <v>3500</v>
      </c>
      <c r="H39" s="17">
        <f t="shared" ref="H39:P39" si="6">SUM(H31:H37)</f>
        <v>5000</v>
      </c>
      <c r="I39" s="17">
        <f t="shared" si="6"/>
        <v>2000</v>
      </c>
      <c r="J39" s="17">
        <f t="shared" si="6"/>
        <v>2500</v>
      </c>
      <c r="K39" s="17">
        <f t="shared" si="6"/>
        <v>500</v>
      </c>
      <c r="L39" s="17">
        <f t="shared" si="6"/>
        <v>1500</v>
      </c>
      <c r="M39" s="17">
        <f t="shared" si="6"/>
        <v>0</v>
      </c>
      <c r="N39" s="17">
        <f t="shared" si="6"/>
        <v>2000</v>
      </c>
      <c r="O39" s="17">
        <f t="shared" si="6"/>
        <v>0</v>
      </c>
      <c r="P39" s="17">
        <f t="shared" si="6"/>
        <v>-500</v>
      </c>
      <c r="Q39" s="3">
        <f>SUM(G39:P39)</f>
        <v>16500</v>
      </c>
      <c r="R39" s="222"/>
      <c r="S39" s="222"/>
    </row>
    <row r="40" spans="2:19" x14ac:dyDescent="0.3">
      <c r="B40" s="225"/>
      <c r="C40" s="225"/>
      <c r="D40" s="215"/>
      <c r="E40" s="226"/>
      <c r="F40" s="2"/>
      <c r="G40" s="18" t="s">
        <v>31</v>
      </c>
      <c r="H40" s="20" t="s">
        <v>34</v>
      </c>
      <c r="I40" s="20" t="s">
        <v>35</v>
      </c>
      <c r="J40" s="19"/>
      <c r="K40" s="19"/>
      <c r="L40" s="19"/>
      <c r="M40" s="19"/>
      <c r="N40" s="19"/>
      <c r="O40" s="19"/>
      <c r="P40" s="18" t="s">
        <v>32</v>
      </c>
      <c r="Q40" s="35" t="s">
        <v>37</v>
      </c>
      <c r="R40" s="222"/>
      <c r="S40" s="222"/>
    </row>
    <row r="41" spans="2:19" ht="17.25" thickBot="1" x14ac:dyDescent="0.35">
      <c r="B41" s="225"/>
      <c r="C41" s="225"/>
      <c r="D41" s="215"/>
      <c r="E41" s="31" t="s">
        <v>27</v>
      </c>
      <c r="F41" s="14"/>
      <c r="G41" s="22">
        <f>G39*0.5/100</f>
        <v>17.5</v>
      </c>
      <c r="H41" s="22">
        <f>H39*1/100</f>
        <v>50</v>
      </c>
      <c r="I41" s="22">
        <f>I39*1.5/100</f>
        <v>30</v>
      </c>
      <c r="J41" s="22">
        <f>J39*2/100</f>
        <v>50</v>
      </c>
      <c r="K41" s="22">
        <f>K39*2.5/100</f>
        <v>12.5</v>
      </c>
      <c r="L41" s="22">
        <f>L39*3/100</f>
        <v>45</v>
      </c>
      <c r="M41" s="22">
        <f>M39*5/100</f>
        <v>0</v>
      </c>
      <c r="N41" s="22">
        <f>N39*10/100</f>
        <v>200</v>
      </c>
      <c r="O41" s="22">
        <f>O39*20/100</f>
        <v>0</v>
      </c>
      <c r="P41" s="22">
        <f>P39*30/100</f>
        <v>-150</v>
      </c>
      <c r="Q41" s="27">
        <f>SUM(G41:P41)</f>
        <v>255</v>
      </c>
      <c r="R41" s="222"/>
      <c r="S41" s="222"/>
    </row>
    <row r="42" spans="2:19" ht="17.25" thickTop="1" x14ac:dyDescent="0.3">
      <c r="B42" s="225"/>
      <c r="C42" s="225"/>
      <c r="D42" s="215"/>
      <c r="E42" s="47" t="s">
        <v>23</v>
      </c>
      <c r="F42" s="39"/>
      <c r="G42" s="40"/>
      <c r="H42" s="40"/>
      <c r="I42" s="40"/>
      <c r="J42" s="40"/>
      <c r="K42" s="40"/>
      <c r="L42" s="40">
        <v>-1000</v>
      </c>
      <c r="M42" s="40"/>
      <c r="N42" s="40"/>
      <c r="O42" s="40"/>
      <c r="P42" s="40"/>
      <c r="Q42" s="48">
        <f>SUM(G42:P42)</f>
        <v>-1000</v>
      </c>
      <c r="R42" s="222"/>
      <c r="S42" s="222"/>
    </row>
    <row r="43" spans="2:19" x14ac:dyDescent="0.3">
      <c r="B43" s="225"/>
      <c r="C43" s="225"/>
      <c r="D43" s="215"/>
      <c r="E43" s="49"/>
      <c r="F43" s="50"/>
      <c r="G43" s="51"/>
      <c r="H43" s="51"/>
      <c r="I43" s="51"/>
      <c r="J43" s="51"/>
      <c r="K43" s="51"/>
      <c r="L43" s="52" t="s">
        <v>35</v>
      </c>
      <c r="M43" s="51"/>
      <c r="N43" s="51"/>
      <c r="O43" s="51"/>
      <c r="P43" s="51"/>
      <c r="Q43" s="53"/>
      <c r="R43" s="222"/>
      <c r="S43" s="222"/>
    </row>
    <row r="44" spans="2:19" x14ac:dyDescent="0.3">
      <c r="B44" s="225"/>
      <c r="C44" s="225"/>
      <c r="D44" s="215"/>
      <c r="E44" s="33" t="s">
        <v>24</v>
      </c>
      <c r="F44" s="12"/>
      <c r="G44" s="17"/>
      <c r="H44" s="17"/>
      <c r="I44" s="17"/>
      <c r="J44" s="17"/>
      <c r="K44" s="17"/>
      <c r="L44" s="17"/>
      <c r="M44" s="17"/>
      <c r="N44" s="17">
        <v>-500</v>
      </c>
      <c r="O44" s="17"/>
      <c r="P44" s="17"/>
      <c r="Q44" s="10">
        <f>SUM(G44:P44)</f>
        <v>-500</v>
      </c>
      <c r="R44" s="222"/>
      <c r="S44" s="222"/>
    </row>
    <row r="45" spans="2:19" x14ac:dyDescent="0.3">
      <c r="B45" s="225"/>
      <c r="C45" s="225"/>
      <c r="D45" s="215"/>
      <c r="E45" s="32"/>
      <c r="F45" s="15"/>
      <c r="G45" s="23"/>
      <c r="H45" s="23"/>
      <c r="I45" s="23"/>
      <c r="J45" s="23"/>
      <c r="K45" s="23"/>
      <c r="L45" s="23"/>
      <c r="M45" s="23"/>
      <c r="N45" s="24" t="s">
        <v>31</v>
      </c>
      <c r="O45" s="23"/>
      <c r="P45" s="23"/>
      <c r="Q45" s="9"/>
      <c r="R45" s="222"/>
      <c r="S45" s="222"/>
    </row>
    <row r="46" spans="2:19" x14ac:dyDescent="0.3">
      <c r="B46" s="225"/>
      <c r="C46" s="225"/>
      <c r="D46" s="215"/>
      <c r="E46" s="54" t="s">
        <v>25</v>
      </c>
      <c r="F46" s="55">
        <v>5000</v>
      </c>
      <c r="G46" s="56"/>
      <c r="H46" s="56"/>
      <c r="I46" s="56">
        <v>-2000</v>
      </c>
      <c r="J46" s="56">
        <v>-2500</v>
      </c>
      <c r="K46" s="56">
        <v>-500</v>
      </c>
      <c r="L46" s="56"/>
      <c r="M46" s="56"/>
      <c r="N46" s="56"/>
      <c r="O46" s="56"/>
      <c r="P46" s="56"/>
      <c r="Q46" s="48">
        <f>SUM(G46:P46)</f>
        <v>-5000</v>
      </c>
      <c r="R46" s="222"/>
      <c r="S46" s="222"/>
    </row>
    <row r="47" spans="2:19" x14ac:dyDescent="0.3">
      <c r="B47" s="225"/>
      <c r="C47" s="225"/>
      <c r="D47" s="215"/>
      <c r="E47" s="47"/>
      <c r="F47" s="39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1"/>
      <c r="R47" s="222"/>
      <c r="S47" s="222"/>
    </row>
    <row r="48" spans="2:19" ht="17.25" thickBot="1" x14ac:dyDescent="0.35">
      <c r="B48" s="225"/>
      <c r="C48" s="225"/>
      <c r="D48" s="215"/>
      <c r="E48" s="31" t="s">
        <v>26</v>
      </c>
      <c r="F48" s="14">
        <f>F46*0.25/100</f>
        <v>12.5</v>
      </c>
      <c r="G48" s="22">
        <f>G46*0.25/100</f>
        <v>0</v>
      </c>
      <c r="H48" s="22">
        <f>H46*0.25/100</f>
        <v>0</v>
      </c>
      <c r="I48" s="22">
        <f>I46*1.5/100</f>
        <v>-30</v>
      </c>
      <c r="J48" s="22">
        <f>J46*2/100</f>
        <v>-50</v>
      </c>
      <c r="K48" s="22">
        <f>K46*2.5/100</f>
        <v>-12.5</v>
      </c>
      <c r="L48" s="22">
        <f>L42*3/100</f>
        <v>-30</v>
      </c>
      <c r="M48" s="22">
        <f>M46*0.25/100</f>
        <v>0</v>
      </c>
      <c r="N48" s="22">
        <f>N44*10/100</f>
        <v>-50</v>
      </c>
      <c r="O48" s="22">
        <f>O46*0.25/100</f>
        <v>0</v>
      </c>
      <c r="P48" s="22">
        <f>P46*0.25/100</f>
        <v>0</v>
      </c>
      <c r="Q48" s="27">
        <f>SUM(G48:P48)</f>
        <v>-172.5</v>
      </c>
      <c r="R48" s="222"/>
      <c r="S48" s="222"/>
    </row>
    <row r="49" spans="2:19" ht="18" thickTop="1" thickBot="1" x14ac:dyDescent="0.35">
      <c r="B49" s="225"/>
      <c r="C49" s="225"/>
      <c r="D49" s="215"/>
      <c r="E49" s="34" t="s">
        <v>28</v>
      </c>
      <c r="F49" s="25">
        <f>F41+F48</f>
        <v>12.5</v>
      </c>
      <c r="G49" s="26">
        <f t="shared" ref="G49:Q49" si="7">G41+G48</f>
        <v>17.5</v>
      </c>
      <c r="H49" s="26">
        <f t="shared" si="7"/>
        <v>50</v>
      </c>
      <c r="I49" s="26">
        <f t="shared" si="7"/>
        <v>0</v>
      </c>
      <c r="J49" s="26">
        <f t="shared" si="7"/>
        <v>0</v>
      </c>
      <c r="K49" s="26">
        <f t="shared" si="7"/>
        <v>0</v>
      </c>
      <c r="L49" s="26">
        <f t="shared" si="7"/>
        <v>15</v>
      </c>
      <c r="M49" s="26">
        <f t="shared" si="7"/>
        <v>0</v>
      </c>
      <c r="N49" s="26">
        <f t="shared" si="7"/>
        <v>150</v>
      </c>
      <c r="O49" s="26">
        <f t="shared" si="7"/>
        <v>0</v>
      </c>
      <c r="P49" s="26">
        <f t="shared" si="7"/>
        <v>-150</v>
      </c>
      <c r="Q49" s="28">
        <f t="shared" si="7"/>
        <v>82.5</v>
      </c>
      <c r="R49" s="223"/>
      <c r="S49" s="223"/>
    </row>
    <row r="50" spans="2:19" ht="17.25" thickTop="1" x14ac:dyDescent="0.3">
      <c r="B50" s="225"/>
      <c r="C50" s="225"/>
      <c r="D50" s="215"/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S50" s="29"/>
    </row>
    <row r="51" spans="2:19" ht="17.25" thickBot="1" x14ac:dyDescent="0.35">
      <c r="B51" s="225"/>
      <c r="C51" s="226"/>
      <c r="D51" s="215"/>
      <c r="E51" s="31" t="s">
        <v>30</v>
      </c>
      <c r="F51" s="14"/>
      <c r="G51" s="22"/>
      <c r="H51" s="22"/>
      <c r="I51" s="22">
        <f>I41</f>
        <v>30</v>
      </c>
      <c r="J51" s="22">
        <f>J41</f>
        <v>50</v>
      </c>
      <c r="K51" s="22">
        <f>K41</f>
        <v>12.5</v>
      </c>
      <c r="L51" s="22"/>
      <c r="M51" s="22"/>
      <c r="N51" s="22"/>
      <c r="O51" s="22"/>
      <c r="P51" s="22"/>
      <c r="Q51" s="37">
        <f>SUM(F51:P51)</f>
        <v>92.5</v>
      </c>
      <c r="R51" s="1"/>
      <c r="S51" s="5"/>
    </row>
    <row r="52" spans="2:19" ht="17.25" thickTop="1" x14ac:dyDescent="0.3">
      <c r="B52" s="225"/>
      <c r="C52" s="61"/>
      <c r="S52" s="65"/>
    </row>
    <row r="53" spans="2:19" x14ac:dyDescent="0.3">
      <c r="B53" s="225"/>
      <c r="C53" s="224" t="s">
        <v>5</v>
      </c>
      <c r="D53" s="38"/>
      <c r="E53" s="57"/>
      <c r="F53" s="62" t="s">
        <v>29</v>
      </c>
      <c r="G53" s="63" t="s">
        <v>7</v>
      </c>
      <c r="H53" s="63" t="s">
        <v>8</v>
      </c>
      <c r="I53" s="63" t="s">
        <v>9</v>
      </c>
      <c r="J53" s="63" t="s">
        <v>10</v>
      </c>
      <c r="K53" s="63" t="s">
        <v>11</v>
      </c>
      <c r="L53" s="63" t="s">
        <v>12</v>
      </c>
      <c r="M53" s="63" t="s">
        <v>13</v>
      </c>
      <c r="N53" s="63" t="s">
        <v>14</v>
      </c>
      <c r="O53" s="63" t="s">
        <v>15</v>
      </c>
      <c r="P53" s="63" t="s">
        <v>16</v>
      </c>
      <c r="Q53" s="64" t="s">
        <v>21</v>
      </c>
      <c r="R53" s="64" t="s">
        <v>39</v>
      </c>
      <c r="S53" s="63" t="s">
        <v>36</v>
      </c>
    </row>
    <row r="54" spans="2:19" x14ac:dyDescent="0.3">
      <c r="B54" s="225"/>
      <c r="C54" s="225"/>
      <c r="D54" s="229" t="s">
        <v>45</v>
      </c>
      <c r="E54" s="227" t="s">
        <v>17</v>
      </c>
      <c r="F54" s="12"/>
      <c r="G54" s="17">
        <v>1000</v>
      </c>
      <c r="H54" s="17"/>
      <c r="I54" s="17"/>
      <c r="J54" s="17"/>
      <c r="K54" s="17"/>
      <c r="L54" s="17"/>
      <c r="M54" s="17"/>
      <c r="N54" s="17"/>
      <c r="O54" s="17"/>
      <c r="P54" s="17">
        <v>-500</v>
      </c>
      <c r="Q54" s="3">
        <f t="shared" ref="Q54" si="8">SUM(G54:P54)</f>
        <v>500</v>
      </c>
      <c r="R54" s="221">
        <f>Q64/Q62*100</f>
        <v>1.5454545454545454</v>
      </c>
      <c r="S54" s="221">
        <f>Q72/Q62*100</f>
        <v>0.5</v>
      </c>
    </row>
    <row r="55" spans="2:19" x14ac:dyDescent="0.3">
      <c r="B55" s="225"/>
      <c r="C55" s="225"/>
      <c r="D55" s="215"/>
      <c r="E55" s="228"/>
      <c r="F55" s="11"/>
      <c r="G55" s="18" t="s">
        <v>31</v>
      </c>
      <c r="H55" s="16"/>
      <c r="I55" s="16"/>
      <c r="J55" s="16"/>
      <c r="K55" s="16"/>
      <c r="L55" s="16"/>
      <c r="M55" s="16"/>
      <c r="N55" s="16"/>
      <c r="O55" s="16"/>
      <c r="P55" s="18" t="s">
        <v>32</v>
      </c>
      <c r="Q55" s="4" t="s">
        <v>33</v>
      </c>
      <c r="R55" s="222"/>
      <c r="S55" s="222"/>
    </row>
    <row r="56" spans="2:19" x14ac:dyDescent="0.3">
      <c r="B56" s="225"/>
      <c r="C56" s="225"/>
      <c r="D56" s="215"/>
      <c r="E56" s="233" t="s">
        <v>20</v>
      </c>
      <c r="F56" s="39"/>
      <c r="G56" s="40"/>
      <c r="H56" s="40">
        <v>5000</v>
      </c>
      <c r="I56" s="40">
        <v>2000</v>
      </c>
      <c r="J56" s="40"/>
      <c r="K56" s="40"/>
      <c r="L56" s="40">
        <v>1500</v>
      </c>
      <c r="M56" s="40"/>
      <c r="N56" s="40">
        <v>2000</v>
      </c>
      <c r="O56" s="40"/>
      <c r="P56" s="40"/>
      <c r="Q56" s="41">
        <f t="shared" ref="Q56" si="9">SUM(G56:P56)</f>
        <v>10500</v>
      </c>
      <c r="R56" s="222"/>
      <c r="S56" s="222"/>
    </row>
    <row r="57" spans="2:19" x14ac:dyDescent="0.3">
      <c r="B57" s="225"/>
      <c r="C57" s="225"/>
      <c r="D57" s="215"/>
      <c r="E57" s="234"/>
      <c r="F57" s="42"/>
      <c r="G57" s="43"/>
      <c r="H57" s="44" t="s">
        <v>34</v>
      </c>
      <c r="I57" s="44" t="s">
        <v>35</v>
      </c>
      <c r="J57" s="43"/>
      <c r="K57" s="43"/>
      <c r="L57" s="43"/>
      <c r="M57" s="43"/>
      <c r="N57" s="43"/>
      <c r="O57" s="43"/>
      <c r="P57" s="43"/>
      <c r="Q57" s="45" t="s">
        <v>31</v>
      </c>
      <c r="R57" s="222"/>
      <c r="S57" s="222"/>
    </row>
    <row r="58" spans="2:19" x14ac:dyDescent="0.3">
      <c r="B58" s="225"/>
      <c r="C58" s="225"/>
      <c r="D58" s="215"/>
      <c r="E58" s="227" t="s">
        <v>19</v>
      </c>
      <c r="F58" s="12"/>
      <c r="G58" s="17">
        <v>2500</v>
      </c>
      <c r="H58" s="17"/>
      <c r="I58" s="17"/>
      <c r="J58" s="17">
        <v>2500</v>
      </c>
      <c r="K58" s="17">
        <v>500</v>
      </c>
      <c r="L58" s="17"/>
      <c r="M58" s="17"/>
      <c r="N58" s="17"/>
      <c r="O58" s="17"/>
      <c r="P58" s="17"/>
      <c r="Q58" s="3">
        <f t="shared" ref="Q58" si="10">SUM(G58:P58)</f>
        <v>5500</v>
      </c>
      <c r="R58" s="222"/>
      <c r="S58" s="222"/>
    </row>
    <row r="59" spans="2:19" x14ac:dyDescent="0.3">
      <c r="B59" s="225"/>
      <c r="C59" s="225"/>
      <c r="D59" s="215"/>
      <c r="E59" s="228"/>
      <c r="F59" s="11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"/>
      <c r="R59" s="222"/>
      <c r="S59" s="222"/>
    </row>
    <row r="60" spans="2:19" x14ac:dyDescent="0.3">
      <c r="B60" s="225"/>
      <c r="C60" s="225"/>
      <c r="D60" s="215"/>
      <c r="E60" s="235" t="s">
        <v>18</v>
      </c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1"/>
      <c r="R60" s="222"/>
      <c r="S60" s="222"/>
    </row>
    <row r="61" spans="2:19" x14ac:dyDescent="0.3">
      <c r="B61" s="225"/>
      <c r="C61" s="225"/>
      <c r="D61" s="215"/>
      <c r="E61" s="234"/>
      <c r="F61" s="42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6"/>
      <c r="R61" s="222"/>
      <c r="S61" s="222"/>
    </row>
    <row r="62" spans="2:19" x14ac:dyDescent="0.3">
      <c r="B62" s="225"/>
      <c r="C62" s="225"/>
      <c r="D62" s="215"/>
      <c r="E62" s="224" t="s">
        <v>22</v>
      </c>
      <c r="F62" s="12"/>
      <c r="G62" s="17">
        <f>SUM(G54:G60)</f>
        <v>3500</v>
      </c>
      <c r="H62" s="17">
        <f t="shared" ref="H62:P62" si="11">SUM(H54:H60)</f>
        <v>5000</v>
      </c>
      <c r="I62" s="17">
        <f t="shared" si="11"/>
        <v>2000</v>
      </c>
      <c r="J62" s="17">
        <f t="shared" si="11"/>
        <v>2500</v>
      </c>
      <c r="K62" s="17">
        <f t="shared" si="11"/>
        <v>500</v>
      </c>
      <c r="L62" s="17">
        <f t="shared" si="11"/>
        <v>1500</v>
      </c>
      <c r="M62" s="17">
        <f t="shared" si="11"/>
        <v>0</v>
      </c>
      <c r="N62" s="17">
        <f t="shared" si="11"/>
        <v>2000</v>
      </c>
      <c r="O62" s="17">
        <f t="shared" si="11"/>
        <v>0</v>
      </c>
      <c r="P62" s="17">
        <f t="shared" si="11"/>
        <v>-500</v>
      </c>
      <c r="Q62" s="3">
        <f>SUM(G62:P62)</f>
        <v>16500</v>
      </c>
      <c r="R62" s="222"/>
      <c r="S62" s="222"/>
    </row>
    <row r="63" spans="2:19" x14ac:dyDescent="0.3">
      <c r="B63" s="225"/>
      <c r="C63" s="225"/>
      <c r="D63" s="215"/>
      <c r="E63" s="226"/>
      <c r="F63" s="2"/>
      <c r="G63" s="18" t="s">
        <v>31</v>
      </c>
      <c r="H63" s="20" t="s">
        <v>34</v>
      </c>
      <c r="I63" s="20" t="s">
        <v>35</v>
      </c>
      <c r="J63" s="19"/>
      <c r="K63" s="19"/>
      <c r="L63" s="19"/>
      <c r="M63" s="19"/>
      <c r="N63" s="19"/>
      <c r="O63" s="19"/>
      <c r="P63" s="18" t="s">
        <v>32</v>
      </c>
      <c r="Q63" s="35" t="s">
        <v>37</v>
      </c>
      <c r="R63" s="222"/>
      <c r="S63" s="222"/>
    </row>
    <row r="64" spans="2:19" ht="17.25" thickBot="1" x14ac:dyDescent="0.35">
      <c r="B64" s="225"/>
      <c r="C64" s="225"/>
      <c r="D64" s="215"/>
      <c r="E64" s="31" t="s">
        <v>27</v>
      </c>
      <c r="F64" s="14"/>
      <c r="G64" s="22">
        <f>G62*0.5/100</f>
        <v>17.5</v>
      </c>
      <c r="H64" s="22">
        <f>H62*1/100</f>
        <v>50</v>
      </c>
      <c r="I64" s="22">
        <f>I62*1.5/100</f>
        <v>30</v>
      </c>
      <c r="J64" s="22">
        <f>J62*2/100</f>
        <v>50</v>
      </c>
      <c r="K64" s="22">
        <f>K62*2.5/100</f>
        <v>12.5</v>
      </c>
      <c r="L64" s="22">
        <f>L62*3/100</f>
        <v>45</v>
      </c>
      <c r="M64" s="22">
        <f>M62*5/100</f>
        <v>0</v>
      </c>
      <c r="N64" s="22">
        <f>N62*10/100</f>
        <v>200</v>
      </c>
      <c r="O64" s="22">
        <f>O62*20/100</f>
        <v>0</v>
      </c>
      <c r="P64" s="22">
        <f>P62*30/100</f>
        <v>-150</v>
      </c>
      <c r="Q64" s="27">
        <f>SUM(G64:P64)</f>
        <v>255</v>
      </c>
      <c r="R64" s="222"/>
      <c r="S64" s="222"/>
    </row>
    <row r="65" spans="2:19" ht="17.25" thickTop="1" x14ac:dyDescent="0.3">
      <c r="B65" s="225"/>
      <c r="C65" s="225"/>
      <c r="D65" s="215"/>
      <c r="E65" s="47" t="s">
        <v>23</v>
      </c>
      <c r="F65" s="39"/>
      <c r="G65" s="40"/>
      <c r="H65" s="40"/>
      <c r="I65" s="40"/>
      <c r="J65" s="40"/>
      <c r="K65" s="40"/>
      <c r="L65" s="40">
        <v>-1000</v>
      </c>
      <c r="M65" s="40"/>
      <c r="N65" s="40"/>
      <c r="O65" s="40"/>
      <c r="P65" s="40"/>
      <c r="Q65" s="48">
        <f>SUM(G65:P65)</f>
        <v>-1000</v>
      </c>
      <c r="R65" s="222"/>
      <c r="S65" s="222"/>
    </row>
    <row r="66" spans="2:19" x14ac:dyDescent="0.3">
      <c r="B66" s="225"/>
      <c r="C66" s="225"/>
      <c r="D66" s="215"/>
      <c r="E66" s="49"/>
      <c r="F66" s="50"/>
      <c r="G66" s="51"/>
      <c r="H66" s="51"/>
      <c r="I66" s="51"/>
      <c r="J66" s="51"/>
      <c r="K66" s="51"/>
      <c r="L66" s="52" t="s">
        <v>35</v>
      </c>
      <c r="M66" s="51"/>
      <c r="N66" s="51"/>
      <c r="O66" s="51"/>
      <c r="P66" s="51"/>
      <c r="Q66" s="53"/>
      <c r="R66" s="222"/>
      <c r="S66" s="222"/>
    </row>
    <row r="67" spans="2:19" x14ac:dyDescent="0.3">
      <c r="B67" s="225"/>
      <c r="C67" s="225"/>
      <c r="D67" s="215"/>
      <c r="E67" s="33" t="s">
        <v>24</v>
      </c>
      <c r="F67" s="12"/>
      <c r="G67" s="17"/>
      <c r="H67" s="17"/>
      <c r="I67" s="17"/>
      <c r="J67" s="17"/>
      <c r="K67" s="17"/>
      <c r="L67" s="17"/>
      <c r="M67" s="17"/>
      <c r="N67" s="17">
        <v>-500</v>
      </c>
      <c r="O67" s="17"/>
      <c r="P67" s="17"/>
      <c r="Q67" s="10">
        <f>SUM(G67:P67)</f>
        <v>-500</v>
      </c>
      <c r="R67" s="222"/>
      <c r="S67" s="222"/>
    </row>
    <row r="68" spans="2:19" x14ac:dyDescent="0.3">
      <c r="B68" s="225"/>
      <c r="C68" s="225"/>
      <c r="D68" s="215"/>
      <c r="E68" s="32"/>
      <c r="F68" s="15"/>
      <c r="G68" s="23"/>
      <c r="H68" s="23"/>
      <c r="I68" s="23"/>
      <c r="J68" s="23"/>
      <c r="K68" s="23"/>
      <c r="L68" s="23"/>
      <c r="M68" s="23"/>
      <c r="N68" s="24" t="s">
        <v>31</v>
      </c>
      <c r="O68" s="23"/>
      <c r="P68" s="23"/>
      <c r="Q68" s="9"/>
      <c r="R68" s="222"/>
      <c r="S68" s="222"/>
    </row>
    <row r="69" spans="2:19" x14ac:dyDescent="0.3">
      <c r="B69" s="225"/>
      <c r="C69" s="225"/>
      <c r="D69" s="215"/>
      <c r="E69" s="54" t="s">
        <v>25</v>
      </c>
      <c r="F69" s="55">
        <v>5000</v>
      </c>
      <c r="G69" s="56"/>
      <c r="H69" s="56"/>
      <c r="I69" s="56">
        <v>-2000</v>
      </c>
      <c r="J69" s="56">
        <v>-2500</v>
      </c>
      <c r="K69" s="56">
        <v>-500</v>
      </c>
      <c r="L69" s="56"/>
      <c r="M69" s="56"/>
      <c r="N69" s="56"/>
      <c r="O69" s="56"/>
      <c r="P69" s="56"/>
      <c r="Q69" s="48">
        <f>SUM(G69:P69)</f>
        <v>-5000</v>
      </c>
      <c r="R69" s="222"/>
      <c r="S69" s="222"/>
    </row>
    <row r="70" spans="2:19" x14ac:dyDescent="0.3">
      <c r="B70" s="225"/>
      <c r="C70" s="225"/>
      <c r="D70" s="215"/>
      <c r="E70" s="47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1"/>
      <c r="R70" s="222"/>
      <c r="S70" s="222"/>
    </row>
    <row r="71" spans="2:19" ht="17.25" thickBot="1" x14ac:dyDescent="0.35">
      <c r="B71" s="225"/>
      <c r="C71" s="225"/>
      <c r="D71" s="215"/>
      <c r="E71" s="31" t="s">
        <v>26</v>
      </c>
      <c r="F71" s="14">
        <f>F69*0.25/100</f>
        <v>12.5</v>
      </c>
      <c r="G71" s="22">
        <f>G69*0.25/100</f>
        <v>0</v>
      </c>
      <c r="H71" s="22">
        <f>H69*0.25/100</f>
        <v>0</v>
      </c>
      <c r="I71" s="22">
        <f>I69*1.5/100</f>
        <v>-30</v>
      </c>
      <c r="J71" s="22">
        <f>J69*2/100</f>
        <v>-50</v>
      </c>
      <c r="K71" s="22">
        <f>K69*2.5/100</f>
        <v>-12.5</v>
      </c>
      <c r="L71" s="22">
        <f>L65*3/100</f>
        <v>-30</v>
      </c>
      <c r="M71" s="22">
        <f>M69*0.25/100</f>
        <v>0</v>
      </c>
      <c r="N71" s="22">
        <f>N67*10/100</f>
        <v>-50</v>
      </c>
      <c r="O71" s="22">
        <f>O69*0.25/100</f>
        <v>0</v>
      </c>
      <c r="P71" s="22">
        <f>P69*0.25/100</f>
        <v>0</v>
      </c>
      <c r="Q71" s="27">
        <f>SUM(G71:P71)</f>
        <v>-172.5</v>
      </c>
      <c r="R71" s="222"/>
      <c r="S71" s="222"/>
    </row>
    <row r="72" spans="2:19" ht="18" thickTop="1" thickBot="1" x14ac:dyDescent="0.35">
      <c r="B72" s="225"/>
      <c r="C72" s="225"/>
      <c r="D72" s="215"/>
      <c r="E72" s="34" t="s">
        <v>28</v>
      </c>
      <c r="F72" s="25">
        <f>F64+F71</f>
        <v>12.5</v>
      </c>
      <c r="G72" s="26">
        <f t="shared" ref="G72:Q72" si="12">G64+G71</f>
        <v>17.5</v>
      </c>
      <c r="H72" s="26">
        <f t="shared" si="12"/>
        <v>50</v>
      </c>
      <c r="I72" s="26">
        <f t="shared" si="12"/>
        <v>0</v>
      </c>
      <c r="J72" s="26">
        <f t="shared" si="12"/>
        <v>0</v>
      </c>
      <c r="K72" s="26">
        <f t="shared" si="12"/>
        <v>0</v>
      </c>
      <c r="L72" s="26">
        <f t="shared" si="12"/>
        <v>15</v>
      </c>
      <c r="M72" s="26">
        <f t="shared" si="12"/>
        <v>0</v>
      </c>
      <c r="N72" s="26">
        <f t="shared" si="12"/>
        <v>150</v>
      </c>
      <c r="O72" s="26">
        <f t="shared" si="12"/>
        <v>0</v>
      </c>
      <c r="P72" s="26">
        <f t="shared" si="12"/>
        <v>-150</v>
      </c>
      <c r="Q72" s="28">
        <f t="shared" si="12"/>
        <v>82.5</v>
      </c>
      <c r="R72" s="223"/>
      <c r="S72" s="223"/>
    </row>
    <row r="73" spans="2:19" ht="17.25" thickTop="1" x14ac:dyDescent="0.3">
      <c r="B73" s="225"/>
      <c r="C73" s="225"/>
      <c r="D73" s="215"/>
      <c r="E73" s="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S73" s="29"/>
    </row>
    <row r="74" spans="2:19" x14ac:dyDescent="0.3">
      <c r="B74" s="225"/>
      <c r="C74" s="225"/>
      <c r="D74" s="236"/>
      <c r="E74" s="7" t="s">
        <v>30</v>
      </c>
      <c r="F74" s="13"/>
      <c r="G74" s="21"/>
      <c r="H74" s="21"/>
      <c r="I74" s="21">
        <f>I64</f>
        <v>30</v>
      </c>
      <c r="J74" s="21">
        <f>J64</f>
        <v>50</v>
      </c>
      <c r="K74" s="21">
        <f>K64</f>
        <v>12.5</v>
      </c>
      <c r="L74" s="21"/>
      <c r="M74" s="21"/>
      <c r="N74" s="21"/>
      <c r="O74" s="21"/>
      <c r="P74" s="21"/>
      <c r="Q74" s="59">
        <f>SUM(F74:P74)</f>
        <v>92.5</v>
      </c>
      <c r="S74" s="30"/>
    </row>
    <row r="75" spans="2:19" x14ac:dyDescent="0.3">
      <c r="B75" s="225"/>
      <c r="C75" s="22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36"/>
    </row>
    <row r="76" spans="2:19" x14ac:dyDescent="0.3">
      <c r="B76" s="225"/>
      <c r="C76" s="225"/>
      <c r="D76" s="38"/>
      <c r="E76" s="57"/>
      <c r="F76" s="62" t="s">
        <v>29</v>
      </c>
      <c r="G76" s="63" t="s">
        <v>7</v>
      </c>
      <c r="H76" s="63" t="s">
        <v>8</v>
      </c>
      <c r="I76" s="63" t="s">
        <v>9</v>
      </c>
      <c r="J76" s="63" t="s">
        <v>10</v>
      </c>
      <c r="K76" s="63" t="s">
        <v>11</v>
      </c>
      <c r="L76" s="63" t="s">
        <v>12</v>
      </c>
      <c r="M76" s="63" t="s">
        <v>13</v>
      </c>
      <c r="N76" s="63" t="s">
        <v>14</v>
      </c>
      <c r="O76" s="63" t="s">
        <v>15</v>
      </c>
      <c r="P76" s="63" t="s">
        <v>16</v>
      </c>
      <c r="Q76" s="64" t="s">
        <v>21</v>
      </c>
      <c r="R76" s="64" t="s">
        <v>39</v>
      </c>
      <c r="S76" s="63" t="s">
        <v>36</v>
      </c>
    </row>
    <row r="77" spans="2:19" x14ac:dyDescent="0.3">
      <c r="B77" s="225"/>
      <c r="C77" s="225"/>
      <c r="D77" s="215" t="s">
        <v>46</v>
      </c>
      <c r="E77" s="227" t="s">
        <v>47</v>
      </c>
      <c r="F77" s="12"/>
      <c r="G77" s="17">
        <v>1000</v>
      </c>
      <c r="H77" s="17"/>
      <c r="I77" s="17"/>
      <c r="J77" s="17"/>
      <c r="K77" s="17"/>
      <c r="L77" s="17"/>
      <c r="M77" s="17"/>
      <c r="N77" s="17"/>
      <c r="O77" s="17"/>
      <c r="P77" s="17">
        <v>-500</v>
      </c>
      <c r="Q77" s="3">
        <f t="shared" ref="Q77" si="13">SUM(G77:P77)</f>
        <v>500</v>
      </c>
      <c r="R77" s="221">
        <f>Q87/Q85*100</f>
        <v>1.5454545454545454</v>
      </c>
      <c r="S77" s="221">
        <f>Q95/Q85*100</f>
        <v>0.5</v>
      </c>
    </row>
    <row r="78" spans="2:19" x14ac:dyDescent="0.3">
      <c r="B78" s="225"/>
      <c r="C78" s="225"/>
      <c r="D78" s="215"/>
      <c r="E78" s="228"/>
      <c r="F78" s="11"/>
      <c r="G78" s="18" t="s">
        <v>31</v>
      </c>
      <c r="H78" s="16"/>
      <c r="I78" s="16"/>
      <c r="J78" s="16"/>
      <c r="K78" s="16"/>
      <c r="L78" s="16"/>
      <c r="M78" s="16"/>
      <c r="N78" s="16"/>
      <c r="O78" s="16"/>
      <c r="P78" s="18" t="s">
        <v>32</v>
      </c>
      <c r="Q78" s="4" t="s">
        <v>33</v>
      </c>
      <c r="R78" s="222"/>
      <c r="S78" s="222"/>
    </row>
    <row r="79" spans="2:19" x14ac:dyDescent="0.3">
      <c r="B79" s="225"/>
      <c r="C79" s="225"/>
      <c r="D79" s="215"/>
      <c r="E79" s="233" t="s">
        <v>20</v>
      </c>
      <c r="F79" s="39"/>
      <c r="G79" s="40"/>
      <c r="H79" s="40">
        <v>5000</v>
      </c>
      <c r="I79" s="40">
        <v>2000</v>
      </c>
      <c r="J79" s="40"/>
      <c r="K79" s="40"/>
      <c r="L79" s="40">
        <v>1500</v>
      </c>
      <c r="M79" s="40"/>
      <c r="N79" s="40">
        <v>2000</v>
      </c>
      <c r="O79" s="40"/>
      <c r="P79" s="40"/>
      <c r="Q79" s="41">
        <f t="shared" ref="Q79" si="14">SUM(G79:P79)</f>
        <v>10500</v>
      </c>
      <c r="R79" s="222"/>
      <c r="S79" s="222"/>
    </row>
    <row r="80" spans="2:19" x14ac:dyDescent="0.3">
      <c r="B80" s="225"/>
      <c r="C80" s="225"/>
      <c r="D80" s="215"/>
      <c r="E80" s="234"/>
      <c r="F80" s="42"/>
      <c r="G80" s="43"/>
      <c r="H80" s="44" t="s">
        <v>34</v>
      </c>
      <c r="I80" s="44" t="s">
        <v>35</v>
      </c>
      <c r="J80" s="43"/>
      <c r="K80" s="43"/>
      <c r="L80" s="43"/>
      <c r="M80" s="43"/>
      <c r="N80" s="43"/>
      <c r="O80" s="43"/>
      <c r="P80" s="43"/>
      <c r="Q80" s="45" t="s">
        <v>31</v>
      </c>
      <c r="R80" s="222"/>
      <c r="S80" s="222"/>
    </row>
    <row r="81" spans="2:19" x14ac:dyDescent="0.3">
      <c r="B81" s="225"/>
      <c r="C81" s="225"/>
      <c r="D81" s="215"/>
      <c r="E81" s="227" t="s">
        <v>19</v>
      </c>
      <c r="F81" s="12"/>
      <c r="G81" s="17">
        <v>2500</v>
      </c>
      <c r="H81" s="17"/>
      <c r="I81" s="17"/>
      <c r="J81" s="17">
        <v>2500</v>
      </c>
      <c r="K81" s="17">
        <v>500</v>
      </c>
      <c r="L81" s="17"/>
      <c r="M81" s="17"/>
      <c r="N81" s="17"/>
      <c r="O81" s="17"/>
      <c r="P81" s="17"/>
      <c r="Q81" s="3">
        <f t="shared" ref="Q81" si="15">SUM(G81:P81)</f>
        <v>5500</v>
      </c>
      <c r="R81" s="222"/>
      <c r="S81" s="222"/>
    </row>
    <row r="82" spans="2:19" x14ac:dyDescent="0.3">
      <c r="B82" s="225"/>
      <c r="C82" s="225"/>
      <c r="D82" s="215"/>
      <c r="E82" s="228"/>
      <c r="F82" s="11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"/>
      <c r="R82" s="222"/>
      <c r="S82" s="222"/>
    </row>
    <row r="83" spans="2:19" x14ac:dyDescent="0.3">
      <c r="B83" s="225"/>
      <c r="C83" s="225"/>
      <c r="D83" s="215"/>
      <c r="E83" s="235" t="s">
        <v>18</v>
      </c>
      <c r="F83" s="39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1"/>
      <c r="R83" s="222"/>
      <c r="S83" s="222"/>
    </row>
    <row r="84" spans="2:19" x14ac:dyDescent="0.3">
      <c r="B84" s="225"/>
      <c r="C84" s="225"/>
      <c r="D84" s="215"/>
      <c r="E84" s="234"/>
      <c r="F84" s="42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6"/>
      <c r="R84" s="222"/>
      <c r="S84" s="222"/>
    </row>
    <row r="85" spans="2:19" x14ac:dyDescent="0.3">
      <c r="B85" s="225"/>
      <c r="C85" s="225"/>
      <c r="D85" s="215"/>
      <c r="E85" s="224" t="s">
        <v>22</v>
      </c>
      <c r="F85" s="12"/>
      <c r="G85" s="17">
        <f>SUM(G77:G83)</f>
        <v>3500</v>
      </c>
      <c r="H85" s="17">
        <f t="shared" ref="H85:P85" si="16">SUM(H77:H83)</f>
        <v>5000</v>
      </c>
      <c r="I85" s="17">
        <f t="shared" si="16"/>
        <v>2000</v>
      </c>
      <c r="J85" s="17">
        <f t="shared" si="16"/>
        <v>2500</v>
      </c>
      <c r="K85" s="17">
        <f t="shared" si="16"/>
        <v>500</v>
      </c>
      <c r="L85" s="17">
        <f t="shared" si="16"/>
        <v>1500</v>
      </c>
      <c r="M85" s="17">
        <f t="shared" si="16"/>
        <v>0</v>
      </c>
      <c r="N85" s="17">
        <f t="shared" si="16"/>
        <v>2000</v>
      </c>
      <c r="O85" s="17">
        <f t="shared" si="16"/>
        <v>0</v>
      </c>
      <c r="P85" s="17">
        <f t="shared" si="16"/>
        <v>-500</v>
      </c>
      <c r="Q85" s="3">
        <f>SUM(G85:P85)</f>
        <v>16500</v>
      </c>
      <c r="R85" s="222"/>
      <c r="S85" s="222"/>
    </row>
    <row r="86" spans="2:19" x14ac:dyDescent="0.3">
      <c r="B86" s="225"/>
      <c r="C86" s="225"/>
      <c r="D86" s="215"/>
      <c r="E86" s="226"/>
      <c r="F86" s="2"/>
      <c r="G86" s="18" t="s">
        <v>31</v>
      </c>
      <c r="H86" s="20" t="s">
        <v>34</v>
      </c>
      <c r="I86" s="20" t="s">
        <v>35</v>
      </c>
      <c r="J86" s="19"/>
      <c r="K86" s="19"/>
      <c r="L86" s="19"/>
      <c r="M86" s="19"/>
      <c r="N86" s="19"/>
      <c r="O86" s="19"/>
      <c r="P86" s="18" t="s">
        <v>32</v>
      </c>
      <c r="Q86" s="35" t="s">
        <v>37</v>
      </c>
      <c r="R86" s="222"/>
      <c r="S86" s="222"/>
    </row>
    <row r="87" spans="2:19" ht="17.25" thickBot="1" x14ac:dyDescent="0.35">
      <c r="B87" s="225"/>
      <c r="C87" s="225"/>
      <c r="D87" s="215"/>
      <c r="E87" s="31" t="s">
        <v>27</v>
      </c>
      <c r="F87" s="14"/>
      <c r="G87" s="22">
        <f>G85*0.5/100</f>
        <v>17.5</v>
      </c>
      <c r="H87" s="22">
        <f>H85*1/100</f>
        <v>50</v>
      </c>
      <c r="I87" s="22">
        <f>I85*1.5/100</f>
        <v>30</v>
      </c>
      <c r="J87" s="22">
        <f>J85*2/100</f>
        <v>50</v>
      </c>
      <c r="K87" s="22">
        <f>K85*2.5/100</f>
        <v>12.5</v>
      </c>
      <c r="L87" s="22">
        <f>L85*3/100</f>
        <v>45</v>
      </c>
      <c r="M87" s="22">
        <f>M85*5/100</f>
        <v>0</v>
      </c>
      <c r="N87" s="22">
        <f>N85*10/100</f>
        <v>200</v>
      </c>
      <c r="O87" s="22">
        <f>O85*20/100</f>
        <v>0</v>
      </c>
      <c r="P87" s="22">
        <f>P85*30/100</f>
        <v>-150</v>
      </c>
      <c r="Q87" s="27">
        <f>SUM(G87:P87)</f>
        <v>255</v>
      </c>
      <c r="R87" s="222"/>
      <c r="S87" s="222"/>
    </row>
    <row r="88" spans="2:19" ht="17.25" thickTop="1" x14ac:dyDescent="0.3">
      <c r="B88" s="225"/>
      <c r="C88" s="225"/>
      <c r="D88" s="215"/>
      <c r="E88" s="47" t="s">
        <v>23</v>
      </c>
      <c r="F88" s="39"/>
      <c r="G88" s="40"/>
      <c r="H88" s="40"/>
      <c r="I88" s="40"/>
      <c r="J88" s="40"/>
      <c r="K88" s="40"/>
      <c r="L88" s="40">
        <v>-1000</v>
      </c>
      <c r="M88" s="40"/>
      <c r="N88" s="40"/>
      <c r="O88" s="40"/>
      <c r="P88" s="40"/>
      <c r="Q88" s="48">
        <f>SUM(G88:P88)</f>
        <v>-1000</v>
      </c>
      <c r="R88" s="222"/>
      <c r="S88" s="222"/>
    </row>
    <row r="89" spans="2:19" x14ac:dyDescent="0.3">
      <c r="B89" s="225"/>
      <c r="C89" s="225"/>
      <c r="D89" s="215"/>
      <c r="E89" s="49"/>
      <c r="F89" s="50"/>
      <c r="G89" s="51"/>
      <c r="H89" s="51"/>
      <c r="I89" s="51"/>
      <c r="J89" s="51"/>
      <c r="K89" s="51"/>
      <c r="L89" s="52" t="s">
        <v>35</v>
      </c>
      <c r="M89" s="51"/>
      <c r="N89" s="51"/>
      <c r="O89" s="51"/>
      <c r="P89" s="51"/>
      <c r="Q89" s="53"/>
      <c r="R89" s="222"/>
      <c r="S89" s="222"/>
    </row>
    <row r="90" spans="2:19" x14ac:dyDescent="0.3">
      <c r="B90" s="225"/>
      <c r="C90" s="225"/>
      <c r="D90" s="215"/>
      <c r="E90" s="33" t="s">
        <v>24</v>
      </c>
      <c r="F90" s="12"/>
      <c r="G90" s="17"/>
      <c r="H90" s="17"/>
      <c r="I90" s="17"/>
      <c r="J90" s="17"/>
      <c r="K90" s="17"/>
      <c r="L90" s="17"/>
      <c r="M90" s="17"/>
      <c r="N90" s="17">
        <v>-500</v>
      </c>
      <c r="O90" s="17"/>
      <c r="P90" s="17"/>
      <c r="Q90" s="10">
        <f>SUM(G90:P90)</f>
        <v>-500</v>
      </c>
      <c r="R90" s="222"/>
      <c r="S90" s="222"/>
    </row>
    <row r="91" spans="2:19" x14ac:dyDescent="0.3">
      <c r="B91" s="225"/>
      <c r="C91" s="225"/>
      <c r="D91" s="215"/>
      <c r="E91" s="32"/>
      <c r="F91" s="15"/>
      <c r="G91" s="23"/>
      <c r="H91" s="23"/>
      <c r="I91" s="23"/>
      <c r="J91" s="23"/>
      <c r="K91" s="23"/>
      <c r="L91" s="23"/>
      <c r="M91" s="23"/>
      <c r="N91" s="24" t="s">
        <v>31</v>
      </c>
      <c r="O91" s="23"/>
      <c r="P91" s="23"/>
      <c r="Q91" s="9"/>
      <c r="R91" s="222"/>
      <c r="S91" s="222"/>
    </row>
    <row r="92" spans="2:19" x14ac:dyDescent="0.3">
      <c r="B92" s="225"/>
      <c r="C92" s="225"/>
      <c r="D92" s="215"/>
      <c r="E92" s="54" t="s">
        <v>25</v>
      </c>
      <c r="F92" s="55">
        <v>5000</v>
      </c>
      <c r="G92" s="56"/>
      <c r="H92" s="56"/>
      <c r="I92" s="56">
        <v>-2000</v>
      </c>
      <c r="J92" s="56">
        <v>-2500</v>
      </c>
      <c r="K92" s="56">
        <v>-500</v>
      </c>
      <c r="L92" s="56"/>
      <c r="M92" s="56"/>
      <c r="N92" s="56"/>
      <c r="O92" s="56"/>
      <c r="P92" s="56"/>
      <c r="Q92" s="48">
        <f>SUM(G92:P92)</f>
        <v>-5000</v>
      </c>
      <c r="R92" s="222"/>
      <c r="S92" s="222"/>
    </row>
    <row r="93" spans="2:19" x14ac:dyDescent="0.3">
      <c r="B93" s="225"/>
      <c r="C93" s="225"/>
      <c r="D93" s="215"/>
      <c r="E93" s="47"/>
      <c r="F93" s="39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1"/>
      <c r="R93" s="222"/>
      <c r="S93" s="222"/>
    </row>
    <row r="94" spans="2:19" ht="17.25" thickBot="1" x14ac:dyDescent="0.35">
      <c r="B94" s="225"/>
      <c r="C94" s="225"/>
      <c r="D94" s="215"/>
      <c r="E94" s="31" t="s">
        <v>26</v>
      </c>
      <c r="F94" s="14">
        <f>F92*0.25/100</f>
        <v>12.5</v>
      </c>
      <c r="G94" s="22">
        <f>G92*0.25/100</f>
        <v>0</v>
      </c>
      <c r="H94" s="22">
        <f>H92*0.25/100</f>
        <v>0</v>
      </c>
      <c r="I94" s="22">
        <f>I92*1.5/100</f>
        <v>-30</v>
      </c>
      <c r="J94" s="22">
        <f>J92*2/100</f>
        <v>-50</v>
      </c>
      <c r="K94" s="22">
        <f>K92*2.5/100</f>
        <v>-12.5</v>
      </c>
      <c r="L94" s="22">
        <f>L88*3/100</f>
        <v>-30</v>
      </c>
      <c r="M94" s="22">
        <f>M92*0.25/100</f>
        <v>0</v>
      </c>
      <c r="N94" s="22">
        <f>N90*10/100</f>
        <v>-50</v>
      </c>
      <c r="O94" s="22">
        <f>O92*0.25/100</f>
        <v>0</v>
      </c>
      <c r="P94" s="22">
        <f>P92*0.25/100</f>
        <v>0</v>
      </c>
      <c r="Q94" s="27">
        <f>SUM(G94:P94)</f>
        <v>-172.5</v>
      </c>
      <c r="R94" s="222"/>
      <c r="S94" s="222"/>
    </row>
    <row r="95" spans="2:19" ht="18" thickTop="1" thickBot="1" x14ac:dyDescent="0.35">
      <c r="B95" s="225"/>
      <c r="C95" s="225"/>
      <c r="D95" s="215"/>
      <c r="E95" s="34" t="s">
        <v>28</v>
      </c>
      <c r="F95" s="25">
        <f>F87+F94</f>
        <v>12.5</v>
      </c>
      <c r="G95" s="26">
        <f t="shared" ref="G95:Q95" si="17">G87+G94</f>
        <v>17.5</v>
      </c>
      <c r="H95" s="26">
        <f t="shared" si="17"/>
        <v>50</v>
      </c>
      <c r="I95" s="26">
        <f t="shared" si="17"/>
        <v>0</v>
      </c>
      <c r="J95" s="26">
        <f t="shared" si="17"/>
        <v>0</v>
      </c>
      <c r="K95" s="26">
        <f t="shared" si="17"/>
        <v>0</v>
      </c>
      <c r="L95" s="26">
        <f t="shared" si="17"/>
        <v>15</v>
      </c>
      <c r="M95" s="26">
        <f t="shared" si="17"/>
        <v>0</v>
      </c>
      <c r="N95" s="26">
        <f t="shared" si="17"/>
        <v>150</v>
      </c>
      <c r="O95" s="26">
        <f t="shared" si="17"/>
        <v>0</v>
      </c>
      <c r="P95" s="26">
        <f t="shared" si="17"/>
        <v>-150</v>
      </c>
      <c r="Q95" s="28">
        <f t="shared" si="17"/>
        <v>82.5</v>
      </c>
      <c r="R95" s="223"/>
      <c r="S95" s="223"/>
    </row>
    <row r="96" spans="2:19" ht="17.25" thickTop="1" x14ac:dyDescent="0.3">
      <c r="B96" s="225"/>
      <c r="C96" s="225"/>
      <c r="D96" s="215"/>
      <c r="E96" s="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S96" s="29"/>
    </row>
    <row r="97" spans="2:19" ht="17.25" thickBot="1" x14ac:dyDescent="0.35">
      <c r="B97" s="226"/>
      <c r="C97" s="226"/>
      <c r="D97" s="215"/>
      <c r="E97" s="31" t="s">
        <v>30</v>
      </c>
      <c r="F97" s="14"/>
      <c r="G97" s="22"/>
      <c r="H97" s="22"/>
      <c r="I97" s="22">
        <f>I87</f>
        <v>30</v>
      </c>
      <c r="J97" s="22">
        <f>J87</f>
        <v>50</v>
      </c>
      <c r="K97" s="22">
        <f>K87</f>
        <v>12.5</v>
      </c>
      <c r="L97" s="22"/>
      <c r="M97" s="22"/>
      <c r="N97" s="22"/>
      <c r="O97" s="22"/>
      <c r="P97" s="22"/>
      <c r="Q97" s="37">
        <f>SUM(F97:P97)</f>
        <v>92.5</v>
      </c>
      <c r="R97" s="1"/>
      <c r="S97" s="5"/>
    </row>
    <row r="98" spans="2:19" ht="17.25" thickTop="1" x14ac:dyDescent="0.3"/>
  </sheetData>
  <mergeCells count="35">
    <mergeCell ref="C8:C51"/>
    <mergeCell ref="C53:C97"/>
    <mergeCell ref="D77:D97"/>
    <mergeCell ref="E77:E78"/>
    <mergeCell ref="R77:R95"/>
    <mergeCell ref="D54:D74"/>
    <mergeCell ref="E54:E55"/>
    <mergeCell ref="R54:R72"/>
    <mergeCell ref="E31:E32"/>
    <mergeCell ref="R31:R49"/>
    <mergeCell ref="E56:E57"/>
    <mergeCell ref="E58:E59"/>
    <mergeCell ref="E60:E61"/>
    <mergeCell ref="E62:E63"/>
    <mergeCell ref="S77:S95"/>
    <mergeCell ref="E79:E80"/>
    <mergeCell ref="E81:E82"/>
    <mergeCell ref="E83:E84"/>
    <mergeCell ref="E85:E86"/>
    <mergeCell ref="B8:B97"/>
    <mergeCell ref="D8:D28"/>
    <mergeCell ref="E8:E9"/>
    <mergeCell ref="R8:R26"/>
    <mergeCell ref="S8:S26"/>
    <mergeCell ref="E10:E11"/>
    <mergeCell ref="E12:E13"/>
    <mergeCell ref="E14:E15"/>
    <mergeCell ref="E16:E17"/>
    <mergeCell ref="D31:D51"/>
    <mergeCell ref="S31:S49"/>
    <mergeCell ref="E33:E34"/>
    <mergeCell ref="E35:E36"/>
    <mergeCell ref="E37:E38"/>
    <mergeCell ref="E39:E40"/>
    <mergeCell ref="S54:S72"/>
  </mergeCells>
  <phoneticPr fontId="1" type="noConversion"/>
  <printOptions horizontalCentered="1" verticalCentered="1"/>
  <pageMargins left="0" right="0" top="0.74803149606299213" bottom="0.74803149606299213" header="0.11811023622047245" footer="0.11811023622047245"/>
  <pageSetup paperSize="9" scale="4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53D0-7372-4FAC-859B-2FE2610B7705}">
  <dimension ref="A1:AL1040"/>
  <sheetViews>
    <sheetView topLeftCell="E1" zoomScaleNormal="100" workbookViewId="0">
      <pane ySplit="1" topLeftCell="A939" activePane="bottomLeft" state="frozen"/>
      <selection activeCell="R1" sqref="R1"/>
      <selection pane="bottomLeft" activeCell="H947" sqref="H947"/>
    </sheetView>
  </sheetViews>
  <sheetFormatPr defaultRowHeight="16.5" x14ac:dyDescent="0.3"/>
  <cols>
    <col min="2" max="2" width="12.25" bestFit="1" customWidth="1"/>
    <col min="4" max="4" width="11.625" bestFit="1" customWidth="1"/>
    <col min="5" max="5" width="37.125" bestFit="1" customWidth="1"/>
    <col min="6" max="6" width="11.125" bestFit="1" customWidth="1"/>
    <col min="8" max="8" width="10.5" bestFit="1" customWidth="1"/>
    <col min="9" max="9" width="12.75" bestFit="1" customWidth="1"/>
    <col min="10" max="10" width="11" bestFit="1" customWidth="1"/>
    <col min="12" max="12" width="12.75" bestFit="1" customWidth="1"/>
    <col min="13" max="13" width="13" bestFit="1" customWidth="1"/>
    <col min="14" max="14" width="10.5" bestFit="1" customWidth="1"/>
    <col min="15" max="16" width="13" bestFit="1" customWidth="1"/>
    <col min="17" max="17" width="10.5" bestFit="1" customWidth="1"/>
    <col min="19" max="19" width="13" bestFit="1" customWidth="1"/>
    <col min="20" max="20" width="9.5" bestFit="1" customWidth="1"/>
    <col min="21" max="21" width="8.5" bestFit="1" customWidth="1"/>
    <col min="22" max="22" width="12.75" bestFit="1" customWidth="1"/>
    <col min="23" max="23" width="13" bestFit="1" customWidth="1"/>
    <col min="24" max="24" width="12.75" bestFit="1" customWidth="1"/>
    <col min="26" max="26" width="9.5" bestFit="1" customWidth="1"/>
    <col min="27" max="27" width="8.625" bestFit="1" customWidth="1"/>
    <col min="28" max="28" width="9.5" bestFit="1" customWidth="1"/>
    <col min="29" max="29" width="7.875" bestFit="1" customWidth="1"/>
    <col min="30" max="30" width="9.5" bestFit="1" customWidth="1"/>
    <col min="31" max="31" width="9.375" bestFit="1" customWidth="1"/>
    <col min="33" max="33" width="11" bestFit="1" customWidth="1"/>
    <col min="35" max="35" width="11" bestFit="1" customWidth="1"/>
    <col min="36" max="36" width="15.25" bestFit="1" customWidth="1"/>
    <col min="37" max="37" width="15.125" bestFit="1" customWidth="1"/>
  </cols>
  <sheetData>
    <row r="1" spans="1:38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</row>
    <row r="2" spans="1:38" x14ac:dyDescent="0.3">
      <c r="A2">
        <v>8001</v>
      </c>
      <c r="B2" s="207">
        <v>46121</v>
      </c>
      <c r="C2" t="s">
        <v>182</v>
      </c>
      <c r="D2" t="s">
        <v>183</v>
      </c>
      <c r="E2" t="s">
        <v>184</v>
      </c>
      <c r="F2" s="207">
        <v>57049</v>
      </c>
      <c r="G2">
        <v>3.5</v>
      </c>
      <c r="H2">
        <v>12000000</v>
      </c>
      <c r="I2">
        <v>11439899459</v>
      </c>
      <c r="J2">
        <v>3.5720000000000001</v>
      </c>
      <c r="K2">
        <v>9897</v>
      </c>
      <c r="L2">
        <v>11876400000</v>
      </c>
      <c r="M2">
        <v>401120107</v>
      </c>
      <c r="N2">
        <v>35380434</v>
      </c>
      <c r="O2">
        <v>4279889</v>
      </c>
      <c r="P2">
        <v>0</v>
      </c>
      <c r="Q2">
        <v>31100545</v>
      </c>
      <c r="S2">
        <v>0</v>
      </c>
      <c r="T2">
        <v>599170</v>
      </c>
      <c r="U2">
        <v>59910</v>
      </c>
      <c r="V2">
        <v>18.641500000000001</v>
      </c>
      <c r="W2">
        <v>18.314399999999999</v>
      </c>
      <c r="X2">
        <v>455.0559666666</v>
      </c>
      <c r="Z2">
        <v>9897.3700000000008</v>
      </c>
      <c r="AB2">
        <v>9897.3700000000008</v>
      </c>
      <c r="AD2">
        <v>9897.3700000000008</v>
      </c>
      <c r="AF2" t="s">
        <v>182</v>
      </c>
      <c r="AG2" t="s">
        <v>185</v>
      </c>
      <c r="AI2" t="s">
        <v>186</v>
      </c>
      <c r="AJ2" t="s">
        <v>187</v>
      </c>
      <c r="AK2" t="s">
        <v>188</v>
      </c>
    </row>
    <row r="3" spans="1:38" x14ac:dyDescent="0.3">
      <c r="A3">
        <v>8001</v>
      </c>
      <c r="B3" s="207">
        <v>46121</v>
      </c>
      <c r="C3" t="s">
        <v>182</v>
      </c>
      <c r="D3" t="s">
        <v>189</v>
      </c>
      <c r="E3" t="s">
        <v>190</v>
      </c>
      <c r="F3" s="207">
        <v>46275</v>
      </c>
      <c r="G3">
        <v>3.29</v>
      </c>
      <c r="H3">
        <v>432500</v>
      </c>
      <c r="I3">
        <v>158924082</v>
      </c>
      <c r="J3">
        <v>2.6520000000000001</v>
      </c>
      <c r="K3">
        <v>9890</v>
      </c>
      <c r="L3">
        <v>427742500</v>
      </c>
      <c r="M3">
        <v>-1264441</v>
      </c>
      <c r="N3">
        <v>270082859</v>
      </c>
      <c r="O3">
        <v>3859441</v>
      </c>
      <c r="P3">
        <v>130506186</v>
      </c>
      <c r="Q3">
        <v>135717232</v>
      </c>
      <c r="S3">
        <v>0</v>
      </c>
      <c r="T3">
        <v>18811180</v>
      </c>
      <c r="U3">
        <v>1881110</v>
      </c>
      <c r="V3">
        <v>0.42009999999999997</v>
      </c>
      <c r="W3">
        <v>0.4112666666</v>
      </c>
      <c r="X3">
        <v>0.4924333333</v>
      </c>
      <c r="Z3">
        <v>9888.4500000000007</v>
      </c>
      <c r="AB3">
        <v>9891.81</v>
      </c>
      <c r="AD3">
        <v>9889.85</v>
      </c>
      <c r="AF3" t="s">
        <v>182</v>
      </c>
      <c r="AG3" t="s">
        <v>185</v>
      </c>
      <c r="AI3" t="s">
        <v>186</v>
      </c>
      <c r="AJ3" t="s">
        <v>191</v>
      </c>
      <c r="AK3" t="s">
        <v>188</v>
      </c>
    </row>
    <row r="4" spans="1:38" x14ac:dyDescent="0.3">
      <c r="A4">
        <v>8001</v>
      </c>
      <c r="B4" s="207">
        <v>46121</v>
      </c>
      <c r="C4" t="s">
        <v>182</v>
      </c>
      <c r="D4" t="s">
        <v>192</v>
      </c>
      <c r="E4" t="s">
        <v>193</v>
      </c>
      <c r="F4" s="207">
        <v>46366</v>
      </c>
      <c r="G4">
        <v>3.58</v>
      </c>
      <c r="H4">
        <v>1000000</v>
      </c>
      <c r="I4">
        <v>406250139</v>
      </c>
      <c r="J4">
        <v>2.758</v>
      </c>
      <c r="K4">
        <v>9818</v>
      </c>
      <c r="L4">
        <v>981800000</v>
      </c>
      <c r="M4">
        <v>-4410139</v>
      </c>
      <c r="N4">
        <v>579960000</v>
      </c>
      <c r="O4">
        <v>9710139</v>
      </c>
      <c r="P4">
        <v>351224877</v>
      </c>
      <c r="Q4">
        <v>219024984</v>
      </c>
      <c r="S4">
        <v>0</v>
      </c>
      <c r="T4">
        <v>50530860</v>
      </c>
      <c r="U4">
        <v>5053060</v>
      </c>
      <c r="V4">
        <v>0.6694</v>
      </c>
      <c r="W4">
        <v>0.65336666659999998</v>
      </c>
      <c r="X4">
        <v>0.99333333329999995</v>
      </c>
      <c r="Z4">
        <v>9816.58</v>
      </c>
      <c r="AB4">
        <v>9821.15</v>
      </c>
      <c r="AD4">
        <v>9819.0300000000007</v>
      </c>
      <c r="AF4" t="s">
        <v>182</v>
      </c>
      <c r="AG4" t="s">
        <v>185</v>
      </c>
      <c r="AI4" t="s">
        <v>186</v>
      </c>
      <c r="AJ4" t="s">
        <v>194</v>
      </c>
      <c r="AK4" t="s">
        <v>188</v>
      </c>
    </row>
    <row r="5" spans="1:38" x14ac:dyDescent="0.3">
      <c r="A5">
        <v>8001</v>
      </c>
      <c r="B5" s="207">
        <v>46121</v>
      </c>
      <c r="C5" t="s">
        <v>182</v>
      </c>
      <c r="D5" t="s">
        <v>195</v>
      </c>
      <c r="E5" t="s">
        <v>196</v>
      </c>
      <c r="F5" s="207">
        <v>46456</v>
      </c>
      <c r="G5">
        <v>3.26</v>
      </c>
      <c r="H5">
        <v>532500</v>
      </c>
      <c r="I5">
        <v>191203391</v>
      </c>
      <c r="J5">
        <v>2.903</v>
      </c>
      <c r="K5">
        <v>9741</v>
      </c>
      <c r="L5">
        <v>518708250</v>
      </c>
      <c r="M5">
        <v>-1992716</v>
      </c>
      <c r="N5">
        <v>329497575</v>
      </c>
      <c r="O5">
        <v>4708466</v>
      </c>
      <c r="P5">
        <v>160240498</v>
      </c>
      <c r="Q5">
        <v>164548611</v>
      </c>
      <c r="S5">
        <v>0</v>
      </c>
      <c r="T5">
        <v>23092830</v>
      </c>
      <c r="U5">
        <v>2309270</v>
      </c>
      <c r="V5">
        <v>0.91600000000000004</v>
      </c>
      <c r="W5">
        <v>0.89083333330000003</v>
      </c>
      <c r="X5">
        <v>1.6353666666</v>
      </c>
      <c r="Z5">
        <v>9738.8799999999992</v>
      </c>
      <c r="AB5">
        <v>9744.7900000000009</v>
      </c>
      <c r="AD5">
        <v>9739.84</v>
      </c>
      <c r="AF5" t="s">
        <v>182</v>
      </c>
      <c r="AG5" t="s">
        <v>185</v>
      </c>
      <c r="AI5" t="s">
        <v>186</v>
      </c>
      <c r="AJ5" t="s">
        <v>197</v>
      </c>
      <c r="AK5" t="s">
        <v>188</v>
      </c>
    </row>
    <row r="6" spans="1:38" x14ac:dyDescent="0.3">
      <c r="A6">
        <v>8001</v>
      </c>
      <c r="B6" s="207">
        <v>46121</v>
      </c>
      <c r="C6" t="s">
        <v>182</v>
      </c>
      <c r="D6" t="s">
        <v>198</v>
      </c>
      <c r="E6" t="s">
        <v>199</v>
      </c>
      <c r="F6" s="207">
        <v>46548</v>
      </c>
      <c r="G6">
        <v>3.54</v>
      </c>
      <c r="H6">
        <v>1000000</v>
      </c>
      <c r="I6">
        <v>397521650</v>
      </c>
      <c r="J6">
        <v>3.0089999999999999</v>
      </c>
      <c r="K6">
        <v>9659</v>
      </c>
      <c r="L6">
        <v>965900000</v>
      </c>
      <c r="M6">
        <v>-5101650</v>
      </c>
      <c r="N6">
        <v>573480000</v>
      </c>
      <c r="O6">
        <v>9601650</v>
      </c>
      <c r="P6">
        <v>347300573</v>
      </c>
      <c r="Q6">
        <v>216577777</v>
      </c>
      <c r="S6">
        <v>0</v>
      </c>
      <c r="T6">
        <v>49966280</v>
      </c>
      <c r="U6">
        <v>4996610</v>
      </c>
      <c r="V6">
        <v>1.1680333332999999</v>
      </c>
      <c r="W6">
        <v>1.1352666666</v>
      </c>
      <c r="X6">
        <v>2.3462666666000001</v>
      </c>
      <c r="Z6">
        <v>9655.0300000000007</v>
      </c>
      <c r="AB6">
        <v>9664.15</v>
      </c>
      <c r="AD6">
        <v>9658.76</v>
      </c>
      <c r="AF6" t="s">
        <v>182</v>
      </c>
      <c r="AG6" t="s">
        <v>185</v>
      </c>
      <c r="AI6" t="s">
        <v>186</v>
      </c>
      <c r="AJ6" t="s">
        <v>200</v>
      </c>
      <c r="AK6" t="s">
        <v>188</v>
      </c>
    </row>
    <row r="7" spans="1:38" x14ac:dyDescent="0.3">
      <c r="A7">
        <v>8001</v>
      </c>
      <c r="B7" s="207">
        <v>46121</v>
      </c>
      <c r="C7" t="s">
        <v>182</v>
      </c>
      <c r="D7" t="s">
        <v>201</v>
      </c>
      <c r="E7" t="s">
        <v>202</v>
      </c>
      <c r="F7" s="207">
        <v>46640</v>
      </c>
      <c r="G7">
        <v>3.56</v>
      </c>
      <c r="H7">
        <v>532500</v>
      </c>
      <c r="I7">
        <v>202664834</v>
      </c>
      <c r="J7">
        <v>3.08</v>
      </c>
      <c r="K7">
        <v>9577</v>
      </c>
      <c r="L7">
        <v>509975250</v>
      </c>
      <c r="M7">
        <v>-3065012</v>
      </c>
      <c r="N7">
        <v>310375428</v>
      </c>
      <c r="O7">
        <v>5141762</v>
      </c>
      <c r="P7">
        <v>174975540</v>
      </c>
      <c r="Q7">
        <v>130258126</v>
      </c>
      <c r="S7">
        <v>0</v>
      </c>
      <c r="T7">
        <v>25216410</v>
      </c>
      <c r="U7">
        <v>2521640</v>
      </c>
      <c r="V7">
        <v>1.4200999999999999</v>
      </c>
      <c r="W7">
        <v>1.3800333333000001</v>
      </c>
      <c r="X7">
        <v>3.1665000000000001</v>
      </c>
      <c r="Z7">
        <v>9577.02</v>
      </c>
      <c r="AB7">
        <v>9580.73</v>
      </c>
      <c r="AD7">
        <v>9574.76</v>
      </c>
      <c r="AF7" t="s">
        <v>182</v>
      </c>
      <c r="AG7" t="s">
        <v>185</v>
      </c>
      <c r="AI7" t="s">
        <v>186</v>
      </c>
      <c r="AJ7" t="s">
        <v>203</v>
      </c>
      <c r="AK7" t="s">
        <v>188</v>
      </c>
    </row>
    <row r="8" spans="1:38" x14ac:dyDescent="0.3">
      <c r="A8">
        <v>8001</v>
      </c>
      <c r="B8" s="207">
        <v>46121</v>
      </c>
      <c r="C8" t="s">
        <v>182</v>
      </c>
      <c r="D8" t="s">
        <v>204</v>
      </c>
      <c r="E8" t="s">
        <v>205</v>
      </c>
      <c r="F8" s="207">
        <v>46822</v>
      </c>
      <c r="G8">
        <v>3.52</v>
      </c>
      <c r="H8">
        <v>532500</v>
      </c>
      <c r="I8">
        <v>197893926</v>
      </c>
      <c r="J8">
        <v>3.2029999999999998</v>
      </c>
      <c r="K8">
        <v>9413</v>
      </c>
      <c r="L8">
        <v>501242250</v>
      </c>
      <c r="M8">
        <v>-3539740</v>
      </c>
      <c r="N8">
        <v>306888064</v>
      </c>
      <c r="O8">
        <v>5083990</v>
      </c>
      <c r="P8">
        <v>173009523</v>
      </c>
      <c r="Q8">
        <v>128794551</v>
      </c>
      <c r="S8">
        <v>0</v>
      </c>
      <c r="T8">
        <v>24933080</v>
      </c>
      <c r="U8">
        <v>2493300</v>
      </c>
      <c r="V8">
        <v>1.9169</v>
      </c>
      <c r="W8">
        <v>1.8573</v>
      </c>
      <c r="X8">
        <v>5.2254333332999998</v>
      </c>
      <c r="Z8">
        <v>9409.18</v>
      </c>
      <c r="AB8">
        <v>9416.52</v>
      </c>
      <c r="AD8">
        <v>9415.1200000000008</v>
      </c>
      <c r="AF8" t="s">
        <v>182</v>
      </c>
      <c r="AG8" t="s">
        <v>185</v>
      </c>
      <c r="AI8" t="s">
        <v>186</v>
      </c>
      <c r="AJ8" t="s">
        <v>206</v>
      </c>
      <c r="AK8" t="s">
        <v>188</v>
      </c>
    </row>
    <row r="9" spans="1:38" x14ac:dyDescent="0.3">
      <c r="A9">
        <v>8001</v>
      </c>
      <c r="B9" s="207">
        <v>46121</v>
      </c>
      <c r="C9" t="s">
        <v>182</v>
      </c>
      <c r="D9" t="s">
        <v>207</v>
      </c>
      <c r="E9" t="s">
        <v>208</v>
      </c>
      <c r="F9" s="207">
        <v>46914</v>
      </c>
      <c r="G9">
        <v>3.46</v>
      </c>
      <c r="H9">
        <v>1000000</v>
      </c>
      <c r="I9">
        <v>378764662</v>
      </c>
      <c r="J9">
        <v>3.2519999999999998</v>
      </c>
      <c r="K9">
        <v>9329</v>
      </c>
      <c r="L9">
        <v>932900000</v>
      </c>
      <c r="M9">
        <v>-6384662</v>
      </c>
      <c r="N9">
        <v>560520000</v>
      </c>
      <c r="O9">
        <v>9384662</v>
      </c>
      <c r="P9">
        <v>339451975</v>
      </c>
      <c r="Q9">
        <v>211683363</v>
      </c>
      <c r="S9">
        <v>0</v>
      </c>
      <c r="T9">
        <v>48837090</v>
      </c>
      <c r="U9">
        <v>4883670</v>
      </c>
      <c r="V9">
        <v>2.1689666665999998</v>
      </c>
      <c r="W9">
        <v>2.1012</v>
      </c>
      <c r="X9">
        <v>6.4055</v>
      </c>
      <c r="Z9">
        <v>9324.2000000000007</v>
      </c>
      <c r="AB9">
        <v>9332.24</v>
      </c>
      <c r="AD9">
        <v>9331.06</v>
      </c>
      <c r="AF9" t="s">
        <v>182</v>
      </c>
      <c r="AG9" t="s">
        <v>185</v>
      </c>
      <c r="AI9" t="s">
        <v>186</v>
      </c>
      <c r="AJ9" t="s">
        <v>209</v>
      </c>
      <c r="AK9" t="s">
        <v>188</v>
      </c>
    </row>
    <row r="10" spans="1:38" x14ac:dyDescent="0.3">
      <c r="A10">
        <v>8001</v>
      </c>
      <c r="B10" s="207">
        <v>46121</v>
      </c>
      <c r="C10" t="s">
        <v>182</v>
      </c>
      <c r="D10" t="s">
        <v>210</v>
      </c>
      <c r="E10" t="s">
        <v>211</v>
      </c>
      <c r="F10" s="207">
        <v>47006</v>
      </c>
      <c r="G10">
        <v>1.88</v>
      </c>
      <c r="H10">
        <v>532500</v>
      </c>
      <c r="I10">
        <v>388767311</v>
      </c>
      <c r="J10">
        <v>3.3180000000000001</v>
      </c>
      <c r="K10">
        <v>9239</v>
      </c>
      <c r="L10">
        <v>491976750</v>
      </c>
      <c r="M10">
        <v>-1810064</v>
      </c>
      <c r="N10">
        <v>105019503</v>
      </c>
      <c r="O10">
        <v>2715314</v>
      </c>
      <c r="P10">
        <v>92404824</v>
      </c>
      <c r="Q10">
        <v>9899365</v>
      </c>
      <c r="S10">
        <v>0</v>
      </c>
      <c r="T10">
        <v>13316810</v>
      </c>
      <c r="U10">
        <v>1331660</v>
      </c>
      <c r="V10">
        <v>2.4209999999999998</v>
      </c>
      <c r="W10">
        <v>2.3449</v>
      </c>
      <c r="X10">
        <v>7.6917333333000002</v>
      </c>
      <c r="Z10">
        <v>9239.2999999999993</v>
      </c>
      <c r="AB10">
        <v>9247.5499999999993</v>
      </c>
      <c r="AD10">
        <v>9231.49</v>
      </c>
      <c r="AF10" t="s">
        <v>182</v>
      </c>
      <c r="AG10" t="s">
        <v>185</v>
      </c>
      <c r="AI10" t="s">
        <v>186</v>
      </c>
      <c r="AJ10" t="s">
        <v>212</v>
      </c>
      <c r="AK10" t="s">
        <v>188</v>
      </c>
    </row>
    <row r="11" spans="1:38" x14ac:dyDescent="0.3">
      <c r="A11">
        <v>8001</v>
      </c>
      <c r="B11" s="207">
        <v>46121</v>
      </c>
      <c r="C11" t="s">
        <v>182</v>
      </c>
      <c r="D11" t="s">
        <v>213</v>
      </c>
      <c r="E11" t="s">
        <v>214</v>
      </c>
      <c r="F11" s="207">
        <v>47187</v>
      </c>
      <c r="G11">
        <v>1.88</v>
      </c>
      <c r="H11">
        <v>532500</v>
      </c>
      <c r="I11">
        <v>380779811</v>
      </c>
      <c r="J11">
        <v>3.4140000000000001</v>
      </c>
      <c r="K11">
        <v>9067</v>
      </c>
      <c r="L11">
        <v>482817750</v>
      </c>
      <c r="M11">
        <v>-2981564</v>
      </c>
      <c r="N11">
        <v>105019503</v>
      </c>
      <c r="O11">
        <v>2715314</v>
      </c>
      <c r="P11">
        <v>92404824</v>
      </c>
      <c r="Q11">
        <v>9899365</v>
      </c>
      <c r="S11">
        <v>0</v>
      </c>
      <c r="T11">
        <v>13316810</v>
      </c>
      <c r="U11">
        <v>1331660</v>
      </c>
      <c r="V11">
        <v>2.9169</v>
      </c>
      <c r="W11">
        <v>2.8205333332999998</v>
      </c>
      <c r="X11">
        <v>10.6592333333</v>
      </c>
      <c r="Z11">
        <v>9071.9699999999993</v>
      </c>
      <c r="AB11">
        <v>9066.34</v>
      </c>
      <c r="AD11">
        <v>9063.27</v>
      </c>
      <c r="AF11" t="s">
        <v>182</v>
      </c>
      <c r="AG11" t="s">
        <v>185</v>
      </c>
      <c r="AI11" t="s">
        <v>186</v>
      </c>
      <c r="AJ11" t="s">
        <v>215</v>
      </c>
      <c r="AK11" t="s">
        <v>188</v>
      </c>
    </row>
    <row r="12" spans="1:38" x14ac:dyDescent="0.3">
      <c r="A12">
        <v>8001</v>
      </c>
      <c r="B12" s="207">
        <v>46121</v>
      </c>
      <c r="C12" t="s">
        <v>182</v>
      </c>
      <c r="D12" t="s">
        <v>216</v>
      </c>
      <c r="E12" t="s">
        <v>217</v>
      </c>
      <c r="F12" s="207">
        <v>47371</v>
      </c>
      <c r="G12">
        <v>1.88</v>
      </c>
      <c r="H12">
        <v>532500</v>
      </c>
      <c r="I12">
        <v>371940311</v>
      </c>
      <c r="J12">
        <v>3.452</v>
      </c>
      <c r="K12">
        <v>8903</v>
      </c>
      <c r="L12">
        <v>474084750</v>
      </c>
      <c r="M12">
        <v>-2875064</v>
      </c>
      <c r="N12">
        <v>105019503</v>
      </c>
      <c r="O12">
        <v>2715314</v>
      </c>
      <c r="P12">
        <v>92404824</v>
      </c>
      <c r="Q12">
        <v>9899365</v>
      </c>
      <c r="S12">
        <v>0</v>
      </c>
      <c r="T12">
        <v>13316810</v>
      </c>
      <c r="U12">
        <v>1331660</v>
      </c>
      <c r="V12">
        <v>3.4209999999999998</v>
      </c>
      <c r="W12">
        <v>3.3086333333</v>
      </c>
      <c r="X12">
        <v>14.0691333333</v>
      </c>
      <c r="Z12">
        <v>8904.92</v>
      </c>
      <c r="AB12">
        <v>8902.27</v>
      </c>
      <c r="AD12">
        <v>8902.27</v>
      </c>
      <c r="AF12" t="s">
        <v>182</v>
      </c>
      <c r="AG12" t="s">
        <v>185</v>
      </c>
      <c r="AI12" t="s">
        <v>186</v>
      </c>
      <c r="AJ12" t="s">
        <v>218</v>
      </c>
      <c r="AK12" t="s">
        <v>188</v>
      </c>
    </row>
    <row r="13" spans="1:38" x14ac:dyDescent="0.3">
      <c r="A13">
        <v>8001</v>
      </c>
      <c r="B13" s="207">
        <v>46121</v>
      </c>
      <c r="C13" t="s">
        <v>182</v>
      </c>
      <c r="D13" t="s">
        <v>219</v>
      </c>
      <c r="E13" t="s">
        <v>220</v>
      </c>
      <c r="F13" s="207">
        <v>47462</v>
      </c>
      <c r="G13">
        <v>3.35</v>
      </c>
      <c r="H13">
        <v>1000000</v>
      </c>
      <c r="I13">
        <v>348886305</v>
      </c>
      <c r="J13">
        <v>3.468</v>
      </c>
      <c r="K13">
        <v>8823</v>
      </c>
      <c r="L13">
        <v>882300000</v>
      </c>
      <c r="M13">
        <v>-9286305</v>
      </c>
      <c r="N13">
        <v>542700000</v>
      </c>
      <c r="O13">
        <v>9086305</v>
      </c>
      <c r="P13">
        <v>328660149</v>
      </c>
      <c r="Q13">
        <v>204953546</v>
      </c>
      <c r="S13">
        <v>0</v>
      </c>
      <c r="T13">
        <v>47284470</v>
      </c>
      <c r="U13">
        <v>4728410</v>
      </c>
      <c r="V13">
        <v>3.6703000000000001</v>
      </c>
      <c r="W13">
        <v>3.5488666665999999</v>
      </c>
      <c r="X13">
        <v>15.9559</v>
      </c>
      <c r="Z13">
        <v>8821.36</v>
      </c>
      <c r="AB13">
        <v>8824.81</v>
      </c>
      <c r="AD13">
        <v>8823.5499999999993</v>
      </c>
      <c r="AF13" t="s">
        <v>182</v>
      </c>
      <c r="AG13" t="s">
        <v>185</v>
      </c>
      <c r="AI13" t="s">
        <v>186</v>
      </c>
      <c r="AJ13" t="s">
        <v>221</v>
      </c>
      <c r="AK13" t="s">
        <v>188</v>
      </c>
    </row>
    <row r="14" spans="1:38" x14ac:dyDescent="0.3">
      <c r="A14">
        <v>8001</v>
      </c>
      <c r="B14" s="207">
        <v>46121</v>
      </c>
      <c r="C14" t="s">
        <v>182</v>
      </c>
      <c r="D14" t="s">
        <v>222</v>
      </c>
      <c r="E14" t="s">
        <v>223</v>
      </c>
      <c r="F14" s="207">
        <v>47552</v>
      </c>
      <c r="G14">
        <v>1.87</v>
      </c>
      <c r="H14">
        <v>532500</v>
      </c>
      <c r="I14">
        <v>363378730</v>
      </c>
      <c r="J14">
        <v>3.49</v>
      </c>
      <c r="K14">
        <v>8742</v>
      </c>
      <c r="L14">
        <v>465511500</v>
      </c>
      <c r="M14">
        <v>-2328117</v>
      </c>
      <c r="N14">
        <v>104460887</v>
      </c>
      <c r="O14">
        <v>2700867</v>
      </c>
      <c r="P14">
        <v>91913311</v>
      </c>
      <c r="Q14">
        <v>9846709</v>
      </c>
      <c r="S14">
        <v>0</v>
      </c>
      <c r="T14">
        <v>13245960</v>
      </c>
      <c r="U14">
        <v>1324580</v>
      </c>
      <c r="V14">
        <v>3.9169</v>
      </c>
      <c r="W14">
        <v>3.7847666665999999</v>
      </c>
      <c r="X14">
        <v>17.957833333300002</v>
      </c>
      <c r="Z14">
        <v>8737.2000000000007</v>
      </c>
      <c r="AB14">
        <v>8749.1200000000008</v>
      </c>
      <c r="AD14">
        <v>8741.5</v>
      </c>
      <c r="AF14" t="s">
        <v>182</v>
      </c>
      <c r="AG14" t="s">
        <v>185</v>
      </c>
      <c r="AI14" t="s">
        <v>186</v>
      </c>
      <c r="AJ14" t="s">
        <v>224</v>
      </c>
      <c r="AK14" t="s">
        <v>188</v>
      </c>
    </row>
    <row r="15" spans="1:38" x14ac:dyDescent="0.3">
      <c r="A15">
        <v>8001</v>
      </c>
      <c r="B15" s="207">
        <v>46121</v>
      </c>
      <c r="C15" t="s">
        <v>182</v>
      </c>
      <c r="D15" t="s">
        <v>225</v>
      </c>
      <c r="E15" t="s">
        <v>226</v>
      </c>
      <c r="F15" s="207">
        <v>47736</v>
      </c>
      <c r="G15">
        <v>1.87</v>
      </c>
      <c r="H15">
        <v>532500</v>
      </c>
      <c r="I15">
        <v>355178230</v>
      </c>
      <c r="J15">
        <v>3.5350000000000001</v>
      </c>
      <c r="K15">
        <v>8575</v>
      </c>
      <c r="L15">
        <v>456618750</v>
      </c>
      <c r="M15">
        <v>-3020367</v>
      </c>
      <c r="N15">
        <v>104460887</v>
      </c>
      <c r="O15">
        <v>2700867</v>
      </c>
      <c r="P15">
        <v>91913311</v>
      </c>
      <c r="Q15">
        <v>9846709</v>
      </c>
      <c r="S15">
        <v>0</v>
      </c>
      <c r="T15">
        <v>13245960</v>
      </c>
      <c r="U15">
        <v>1324580</v>
      </c>
      <c r="V15">
        <v>4.4210000000000003</v>
      </c>
      <c r="W15">
        <v>4.2718666666000003</v>
      </c>
      <c r="X15">
        <v>22.2988</v>
      </c>
      <c r="Z15">
        <v>8574.83</v>
      </c>
      <c r="AB15">
        <v>8577.77</v>
      </c>
      <c r="AD15">
        <v>8573.3700000000008</v>
      </c>
      <c r="AF15" t="s">
        <v>182</v>
      </c>
      <c r="AG15" t="s">
        <v>185</v>
      </c>
      <c r="AI15" t="s">
        <v>186</v>
      </c>
      <c r="AJ15" t="s">
        <v>227</v>
      </c>
      <c r="AK15" t="s">
        <v>188</v>
      </c>
    </row>
    <row r="16" spans="1:38" x14ac:dyDescent="0.3">
      <c r="A16">
        <v>8001</v>
      </c>
      <c r="B16" s="207">
        <v>46121</v>
      </c>
      <c r="C16" t="s">
        <v>182</v>
      </c>
      <c r="D16" t="s">
        <v>228</v>
      </c>
      <c r="E16" t="s">
        <v>229</v>
      </c>
      <c r="F16" s="207">
        <v>47917</v>
      </c>
      <c r="G16">
        <v>1.87</v>
      </c>
      <c r="H16">
        <v>532500</v>
      </c>
      <c r="I16">
        <v>346764730</v>
      </c>
      <c r="J16">
        <v>3.5830000000000002</v>
      </c>
      <c r="K16">
        <v>8410</v>
      </c>
      <c r="L16">
        <v>447832500</v>
      </c>
      <c r="M16">
        <v>-3393117</v>
      </c>
      <c r="N16">
        <v>104460887</v>
      </c>
      <c r="O16">
        <v>2700867</v>
      </c>
      <c r="P16">
        <v>91913311</v>
      </c>
      <c r="Q16">
        <v>9846709</v>
      </c>
      <c r="S16">
        <v>0</v>
      </c>
      <c r="T16">
        <v>13245960</v>
      </c>
      <c r="U16">
        <v>1324580</v>
      </c>
      <c r="V16">
        <v>4.9169</v>
      </c>
      <c r="W16">
        <v>4.7468000000000004</v>
      </c>
      <c r="X16">
        <v>27.0913333333</v>
      </c>
      <c r="Z16">
        <v>8414.75</v>
      </c>
      <c r="AB16">
        <v>8405.9699999999993</v>
      </c>
      <c r="AD16">
        <v>8411.56</v>
      </c>
      <c r="AF16" t="s">
        <v>182</v>
      </c>
      <c r="AG16" t="s">
        <v>185</v>
      </c>
      <c r="AI16" t="s">
        <v>186</v>
      </c>
      <c r="AJ16" t="s">
        <v>230</v>
      </c>
      <c r="AK16" t="s">
        <v>188</v>
      </c>
    </row>
    <row r="17" spans="1:37" x14ac:dyDescent="0.3">
      <c r="A17">
        <v>8001</v>
      </c>
      <c r="B17" s="207">
        <v>46121</v>
      </c>
      <c r="C17" t="s">
        <v>182</v>
      </c>
      <c r="D17" t="s">
        <v>231</v>
      </c>
      <c r="E17" t="s">
        <v>232</v>
      </c>
      <c r="F17" s="207">
        <v>48009</v>
      </c>
      <c r="G17">
        <v>2.81</v>
      </c>
      <c r="H17">
        <v>1000000</v>
      </c>
      <c r="I17">
        <v>441092059</v>
      </c>
      <c r="J17">
        <v>3.5859999999999999</v>
      </c>
      <c r="K17">
        <v>8334</v>
      </c>
      <c r="L17">
        <v>833400000</v>
      </c>
      <c r="M17">
        <v>-9021643</v>
      </c>
      <c r="N17">
        <v>401329584</v>
      </c>
      <c r="O17">
        <v>7621643</v>
      </c>
      <c r="P17">
        <v>275687221</v>
      </c>
      <c r="Q17">
        <v>118020720</v>
      </c>
      <c r="S17">
        <v>0</v>
      </c>
      <c r="T17">
        <v>39663210</v>
      </c>
      <c r="U17">
        <v>3966300</v>
      </c>
      <c r="V17">
        <v>5.1689666666000003</v>
      </c>
      <c r="W17">
        <v>4.9907333332999997</v>
      </c>
      <c r="X17">
        <v>29.6809333333</v>
      </c>
      <c r="Z17">
        <v>8339.8799999999992</v>
      </c>
      <c r="AB17">
        <v>8327.39</v>
      </c>
      <c r="AD17">
        <v>8336.9599999999991</v>
      </c>
      <c r="AF17" t="s">
        <v>182</v>
      </c>
      <c r="AG17" t="s">
        <v>185</v>
      </c>
      <c r="AI17" t="s">
        <v>186</v>
      </c>
      <c r="AJ17" t="s">
        <v>233</v>
      </c>
      <c r="AK17" t="s">
        <v>188</v>
      </c>
    </row>
    <row r="18" spans="1:37" x14ac:dyDescent="0.3">
      <c r="A18">
        <v>8001</v>
      </c>
      <c r="B18" s="207">
        <v>46121</v>
      </c>
      <c r="C18" t="s">
        <v>182</v>
      </c>
      <c r="D18" t="s">
        <v>234</v>
      </c>
      <c r="E18" t="s">
        <v>235</v>
      </c>
      <c r="F18" s="207">
        <v>48101</v>
      </c>
      <c r="G18">
        <v>1.86</v>
      </c>
      <c r="H18">
        <v>605300</v>
      </c>
      <c r="I18">
        <v>385953378</v>
      </c>
      <c r="J18">
        <v>3.589</v>
      </c>
      <c r="K18">
        <v>8259</v>
      </c>
      <c r="L18">
        <v>499917270</v>
      </c>
      <c r="M18">
        <v>-4143236</v>
      </c>
      <c r="N18">
        <v>118107128</v>
      </c>
      <c r="O18">
        <v>3053696</v>
      </c>
      <c r="P18">
        <v>104378858</v>
      </c>
      <c r="Q18">
        <v>10674574</v>
      </c>
      <c r="S18">
        <v>0</v>
      </c>
      <c r="T18">
        <v>15040540</v>
      </c>
      <c r="U18">
        <v>1504040</v>
      </c>
      <c r="V18">
        <v>5.4210000000000003</v>
      </c>
      <c r="W18">
        <v>5.2350666665999999</v>
      </c>
      <c r="X18">
        <v>32.383366666599997</v>
      </c>
      <c r="Z18">
        <v>8265.42</v>
      </c>
      <c r="AB18">
        <v>8254.17</v>
      </c>
      <c r="AD18">
        <v>8257.6299999999992</v>
      </c>
      <c r="AF18" t="s">
        <v>182</v>
      </c>
      <c r="AG18" t="s">
        <v>185</v>
      </c>
      <c r="AI18" t="s">
        <v>186</v>
      </c>
      <c r="AJ18" t="s">
        <v>236</v>
      </c>
      <c r="AK18" t="s">
        <v>188</v>
      </c>
    </row>
    <row r="19" spans="1:37" x14ac:dyDescent="0.3">
      <c r="A19">
        <v>8001</v>
      </c>
      <c r="B19" s="207">
        <v>46121</v>
      </c>
      <c r="C19" t="s">
        <v>182</v>
      </c>
      <c r="D19" t="s">
        <v>237</v>
      </c>
      <c r="E19" t="s">
        <v>238</v>
      </c>
      <c r="F19" s="207">
        <v>48192</v>
      </c>
      <c r="G19">
        <v>2.78</v>
      </c>
      <c r="H19">
        <v>1000000</v>
      </c>
      <c r="I19">
        <v>431395345</v>
      </c>
      <c r="J19">
        <v>3.593</v>
      </c>
      <c r="K19">
        <v>8185</v>
      </c>
      <c r="L19">
        <v>818500000</v>
      </c>
      <c r="M19">
        <v>-9940274</v>
      </c>
      <c r="N19">
        <v>397044929</v>
      </c>
      <c r="O19">
        <v>7540274</v>
      </c>
      <c r="P19">
        <v>272743942</v>
      </c>
      <c r="Q19">
        <v>116760713</v>
      </c>
      <c r="S19">
        <v>0</v>
      </c>
      <c r="T19">
        <v>39239760</v>
      </c>
      <c r="U19">
        <v>3923940</v>
      </c>
      <c r="V19">
        <v>5.6703000000000001</v>
      </c>
      <c r="W19">
        <v>5.4752666665999996</v>
      </c>
      <c r="X19">
        <v>35.195799999999998</v>
      </c>
      <c r="Z19">
        <v>8190.78</v>
      </c>
      <c r="AB19">
        <v>8182.71</v>
      </c>
      <c r="AD19">
        <v>8182.26</v>
      </c>
      <c r="AF19" t="s">
        <v>182</v>
      </c>
      <c r="AG19" t="s">
        <v>185</v>
      </c>
      <c r="AI19" t="s">
        <v>186</v>
      </c>
      <c r="AJ19" t="s">
        <v>239</v>
      </c>
      <c r="AK19" t="s">
        <v>188</v>
      </c>
    </row>
    <row r="20" spans="1:37" x14ac:dyDescent="0.3">
      <c r="A20">
        <v>8001</v>
      </c>
      <c r="B20" s="207">
        <v>46121</v>
      </c>
      <c r="C20" t="s">
        <v>182</v>
      </c>
      <c r="D20" t="s">
        <v>240</v>
      </c>
      <c r="E20" t="s">
        <v>241</v>
      </c>
      <c r="F20" s="207">
        <v>48283</v>
      </c>
      <c r="G20">
        <v>1.86</v>
      </c>
      <c r="H20">
        <v>605300</v>
      </c>
      <c r="I20">
        <v>377418648</v>
      </c>
      <c r="J20">
        <v>3.593</v>
      </c>
      <c r="K20">
        <v>8114</v>
      </c>
      <c r="L20">
        <v>491140420</v>
      </c>
      <c r="M20">
        <v>-4385356</v>
      </c>
      <c r="N20">
        <v>118107128</v>
      </c>
      <c r="O20">
        <v>3053696</v>
      </c>
      <c r="P20">
        <v>104378858</v>
      </c>
      <c r="Q20">
        <v>10674574</v>
      </c>
      <c r="S20">
        <v>0</v>
      </c>
      <c r="T20">
        <v>15040540</v>
      </c>
      <c r="U20">
        <v>1504040</v>
      </c>
      <c r="V20">
        <v>5.9177999999999997</v>
      </c>
      <c r="W20">
        <v>5.7116333333</v>
      </c>
      <c r="X20">
        <v>38.1127333333</v>
      </c>
      <c r="Z20">
        <v>8119.82</v>
      </c>
      <c r="AB20">
        <v>8113.8</v>
      </c>
      <c r="AD20">
        <v>8111.02</v>
      </c>
      <c r="AF20" t="s">
        <v>182</v>
      </c>
      <c r="AG20" t="s">
        <v>185</v>
      </c>
      <c r="AI20" t="s">
        <v>186</v>
      </c>
      <c r="AJ20" t="s">
        <v>242</v>
      </c>
      <c r="AK20" t="s">
        <v>188</v>
      </c>
    </row>
    <row r="21" spans="1:37" x14ac:dyDescent="0.3">
      <c r="A21">
        <v>8001</v>
      </c>
      <c r="B21" s="207">
        <v>46121</v>
      </c>
      <c r="C21" t="s">
        <v>182</v>
      </c>
      <c r="D21" t="s">
        <v>243</v>
      </c>
      <c r="E21" t="s">
        <v>244</v>
      </c>
      <c r="F21" s="207">
        <v>48375</v>
      </c>
      <c r="G21">
        <v>2.3199999999999998</v>
      </c>
      <c r="H21">
        <v>1000000</v>
      </c>
      <c r="I21">
        <v>498216714</v>
      </c>
      <c r="J21">
        <v>3.5950000000000002</v>
      </c>
      <c r="K21">
        <v>8042</v>
      </c>
      <c r="L21">
        <v>804200000</v>
      </c>
      <c r="M21">
        <v>-8392600</v>
      </c>
      <c r="N21">
        <v>314375886</v>
      </c>
      <c r="O21">
        <v>6292600</v>
      </c>
      <c r="P21">
        <v>227630475</v>
      </c>
      <c r="Q21">
        <v>80452811</v>
      </c>
      <c r="S21">
        <v>0</v>
      </c>
      <c r="T21">
        <v>32749190</v>
      </c>
      <c r="U21">
        <v>3274890</v>
      </c>
      <c r="V21">
        <v>6.1698666665999999</v>
      </c>
      <c r="W21">
        <v>5.9555999999999996</v>
      </c>
      <c r="X21">
        <v>41.173766666600002</v>
      </c>
      <c r="Z21">
        <v>8047.3</v>
      </c>
      <c r="AB21">
        <v>8038.67</v>
      </c>
      <c r="AD21">
        <v>8040.11</v>
      </c>
      <c r="AF21" t="s">
        <v>182</v>
      </c>
      <c r="AG21" t="s">
        <v>185</v>
      </c>
      <c r="AI21" t="s">
        <v>186</v>
      </c>
      <c r="AJ21" t="s">
        <v>245</v>
      </c>
      <c r="AK21" t="s">
        <v>188</v>
      </c>
    </row>
    <row r="22" spans="1:37" x14ac:dyDescent="0.3">
      <c r="A22">
        <v>8001</v>
      </c>
      <c r="B22" s="207">
        <v>46121</v>
      </c>
      <c r="C22" t="s">
        <v>182</v>
      </c>
      <c r="D22" t="s">
        <v>246</v>
      </c>
      <c r="E22" t="s">
        <v>247</v>
      </c>
      <c r="F22" s="207">
        <v>48467</v>
      </c>
      <c r="G22">
        <v>1.85</v>
      </c>
      <c r="H22">
        <v>605300</v>
      </c>
      <c r="I22">
        <v>368897186</v>
      </c>
      <c r="J22">
        <v>3.6120000000000001</v>
      </c>
      <c r="K22">
        <v>7961</v>
      </c>
      <c r="L22">
        <v>481879330</v>
      </c>
      <c r="M22">
        <v>-4490001</v>
      </c>
      <c r="N22">
        <v>117472145</v>
      </c>
      <c r="O22">
        <v>3037281</v>
      </c>
      <c r="P22">
        <v>103817680</v>
      </c>
      <c r="Q22">
        <v>10617184</v>
      </c>
      <c r="S22">
        <v>0</v>
      </c>
      <c r="T22">
        <v>14959670</v>
      </c>
      <c r="U22">
        <v>1495950</v>
      </c>
      <c r="V22">
        <v>6.4219333333000002</v>
      </c>
      <c r="W22">
        <v>6.1990999999999996</v>
      </c>
      <c r="X22">
        <v>44.335433333300003</v>
      </c>
      <c r="Z22">
        <v>7963.81</v>
      </c>
      <c r="AB22">
        <v>7961.83</v>
      </c>
      <c r="AD22">
        <v>7959.86</v>
      </c>
      <c r="AF22" t="s">
        <v>182</v>
      </c>
      <c r="AG22" t="s">
        <v>185</v>
      </c>
      <c r="AI22" t="s">
        <v>186</v>
      </c>
      <c r="AJ22" t="s">
        <v>248</v>
      </c>
      <c r="AK22" t="s">
        <v>188</v>
      </c>
    </row>
    <row r="23" spans="1:37" x14ac:dyDescent="0.3">
      <c r="A23">
        <v>8001</v>
      </c>
      <c r="B23" s="207">
        <v>46121</v>
      </c>
      <c r="C23" t="s">
        <v>182</v>
      </c>
      <c r="D23" t="s">
        <v>249</v>
      </c>
      <c r="E23" t="s">
        <v>250</v>
      </c>
      <c r="F23" s="207">
        <v>48648</v>
      </c>
      <c r="G23">
        <v>1.84</v>
      </c>
      <c r="H23">
        <v>605300</v>
      </c>
      <c r="I23">
        <v>360557311</v>
      </c>
      <c r="J23">
        <v>3.637</v>
      </c>
      <c r="K23">
        <v>7810</v>
      </c>
      <c r="L23">
        <v>472739300</v>
      </c>
      <c r="M23">
        <v>-4655171</v>
      </c>
      <c r="N23">
        <v>116837160</v>
      </c>
      <c r="O23">
        <v>3020861</v>
      </c>
      <c r="P23">
        <v>103256506</v>
      </c>
      <c r="Q23">
        <v>10559793</v>
      </c>
      <c r="S23">
        <v>0</v>
      </c>
      <c r="T23">
        <v>14878820</v>
      </c>
      <c r="U23">
        <v>1487870</v>
      </c>
      <c r="V23">
        <v>6.9177999999999997</v>
      </c>
      <c r="W23">
        <v>6.6741666665999997</v>
      </c>
      <c r="X23">
        <v>50.960833333300002</v>
      </c>
      <c r="Z23">
        <v>7810.22</v>
      </c>
      <c r="AB23">
        <v>7813.35</v>
      </c>
      <c r="AD23">
        <v>7808.66</v>
      </c>
      <c r="AF23" t="s">
        <v>182</v>
      </c>
      <c r="AG23" t="s">
        <v>185</v>
      </c>
      <c r="AI23" t="s">
        <v>186</v>
      </c>
      <c r="AJ23" t="s">
        <v>251</v>
      </c>
      <c r="AK23" t="s">
        <v>188</v>
      </c>
    </row>
    <row r="24" spans="1:37" x14ac:dyDescent="0.3">
      <c r="A24">
        <v>8001</v>
      </c>
      <c r="B24" s="207">
        <v>46121</v>
      </c>
      <c r="C24" t="s">
        <v>182</v>
      </c>
      <c r="D24" t="s">
        <v>252</v>
      </c>
      <c r="E24" t="s">
        <v>253</v>
      </c>
      <c r="F24" s="207">
        <v>48832</v>
      </c>
      <c r="G24">
        <v>1.84</v>
      </c>
      <c r="H24">
        <v>605300</v>
      </c>
      <c r="I24">
        <v>352506821</v>
      </c>
      <c r="J24">
        <v>3.6539999999999999</v>
      </c>
      <c r="K24">
        <v>7660</v>
      </c>
      <c r="L24">
        <v>463659800</v>
      </c>
      <c r="M24">
        <v>-5684181</v>
      </c>
      <c r="N24">
        <v>116837160</v>
      </c>
      <c r="O24">
        <v>3020861</v>
      </c>
      <c r="P24">
        <v>103256506</v>
      </c>
      <c r="Q24">
        <v>10559793</v>
      </c>
      <c r="S24">
        <v>0</v>
      </c>
      <c r="T24">
        <v>14878820</v>
      </c>
      <c r="U24">
        <v>1487870</v>
      </c>
      <c r="V24">
        <v>7.4219333333000002</v>
      </c>
      <c r="W24">
        <v>7.1612666666000004</v>
      </c>
      <c r="X24">
        <v>58.116866666600004</v>
      </c>
      <c r="Z24">
        <v>7660.08</v>
      </c>
      <c r="AB24">
        <v>7662.83</v>
      </c>
      <c r="AD24">
        <v>7659.53</v>
      </c>
      <c r="AF24" t="s">
        <v>182</v>
      </c>
      <c r="AG24" t="s">
        <v>185</v>
      </c>
      <c r="AI24" t="s">
        <v>186</v>
      </c>
      <c r="AJ24" t="s">
        <v>254</v>
      </c>
      <c r="AK24" t="s">
        <v>188</v>
      </c>
    </row>
    <row r="25" spans="1:37" x14ac:dyDescent="0.3">
      <c r="A25">
        <v>8001</v>
      </c>
      <c r="B25" s="207">
        <v>46121</v>
      </c>
      <c r="C25" t="s">
        <v>182</v>
      </c>
      <c r="D25" t="s">
        <v>255</v>
      </c>
      <c r="E25" t="s">
        <v>256</v>
      </c>
      <c r="F25" s="207">
        <v>49013</v>
      </c>
      <c r="G25">
        <v>1.83</v>
      </c>
      <c r="H25">
        <v>605300</v>
      </c>
      <c r="I25">
        <v>345014369</v>
      </c>
      <c r="J25">
        <v>3.681</v>
      </c>
      <c r="K25">
        <v>7511</v>
      </c>
      <c r="L25">
        <v>454640830</v>
      </c>
      <c r="M25">
        <v>-6575715</v>
      </c>
      <c r="N25">
        <v>116202176</v>
      </c>
      <c r="O25">
        <v>3004445</v>
      </c>
      <c r="P25">
        <v>102695327</v>
      </c>
      <c r="Q25">
        <v>10502404</v>
      </c>
      <c r="S25">
        <v>0</v>
      </c>
      <c r="T25">
        <v>14797950</v>
      </c>
      <c r="U25">
        <v>1479780</v>
      </c>
      <c r="V25">
        <v>7.9177999999999997</v>
      </c>
      <c r="W25">
        <v>7.6358333332999999</v>
      </c>
      <c r="X25">
        <v>65.646766666600001</v>
      </c>
      <c r="Z25">
        <v>7510.2</v>
      </c>
      <c r="AB25">
        <v>7517.09</v>
      </c>
      <c r="AD25">
        <v>7506.19</v>
      </c>
      <c r="AF25" t="s">
        <v>182</v>
      </c>
      <c r="AG25" t="s">
        <v>185</v>
      </c>
      <c r="AI25" t="s">
        <v>186</v>
      </c>
      <c r="AJ25" t="s">
        <v>257</v>
      </c>
      <c r="AK25" t="s">
        <v>188</v>
      </c>
    </row>
    <row r="26" spans="1:37" x14ac:dyDescent="0.3">
      <c r="A26">
        <v>8001</v>
      </c>
      <c r="B26" s="207">
        <v>46121</v>
      </c>
      <c r="C26" t="s">
        <v>182</v>
      </c>
      <c r="D26" t="s">
        <v>258</v>
      </c>
      <c r="E26" t="s">
        <v>259</v>
      </c>
      <c r="F26" s="207">
        <v>49105</v>
      </c>
      <c r="G26">
        <v>2.25</v>
      </c>
      <c r="H26">
        <v>412500</v>
      </c>
      <c r="I26">
        <v>185960088</v>
      </c>
      <c r="J26">
        <v>3.69</v>
      </c>
      <c r="K26">
        <v>7437</v>
      </c>
      <c r="L26">
        <v>306776250</v>
      </c>
      <c r="M26">
        <v>-4951131</v>
      </c>
      <c r="N26">
        <v>125767293</v>
      </c>
      <c r="O26">
        <v>2517381</v>
      </c>
      <c r="P26">
        <v>91264258</v>
      </c>
      <c r="Q26">
        <v>31985654</v>
      </c>
      <c r="S26">
        <v>0</v>
      </c>
      <c r="T26">
        <v>13129420</v>
      </c>
      <c r="U26">
        <v>1312930</v>
      </c>
      <c r="V26">
        <v>8.1698666666000008</v>
      </c>
      <c r="W26">
        <v>7.8789333333</v>
      </c>
      <c r="X26">
        <v>69.632099999999994</v>
      </c>
      <c r="Z26">
        <v>7433.53</v>
      </c>
      <c r="AB26">
        <v>7444.67</v>
      </c>
      <c r="AD26">
        <v>7433.53</v>
      </c>
      <c r="AF26" t="s">
        <v>182</v>
      </c>
      <c r="AG26" t="s">
        <v>185</v>
      </c>
      <c r="AI26" t="s">
        <v>186</v>
      </c>
      <c r="AJ26" t="s">
        <v>260</v>
      </c>
      <c r="AK26" t="s">
        <v>188</v>
      </c>
    </row>
    <row r="27" spans="1:37" x14ac:dyDescent="0.3">
      <c r="A27">
        <v>8001</v>
      </c>
      <c r="B27" s="207">
        <v>46121</v>
      </c>
      <c r="C27" t="s">
        <v>182</v>
      </c>
      <c r="D27" t="s">
        <v>261</v>
      </c>
      <c r="E27" t="s">
        <v>262</v>
      </c>
      <c r="F27" s="207">
        <v>49197</v>
      </c>
      <c r="G27">
        <v>1.82</v>
      </c>
      <c r="H27">
        <v>605300</v>
      </c>
      <c r="I27">
        <v>337098205</v>
      </c>
      <c r="J27">
        <v>3.6930000000000001</v>
      </c>
      <c r="K27">
        <v>7367</v>
      </c>
      <c r="L27">
        <v>445924510</v>
      </c>
      <c r="M27">
        <v>-6740885</v>
      </c>
      <c r="N27">
        <v>115567190</v>
      </c>
      <c r="O27">
        <v>2988025</v>
      </c>
      <c r="P27">
        <v>102134152</v>
      </c>
      <c r="Q27">
        <v>10445013</v>
      </c>
      <c r="S27">
        <v>0</v>
      </c>
      <c r="T27">
        <v>14717090</v>
      </c>
      <c r="U27">
        <v>1471690</v>
      </c>
      <c r="V27">
        <v>8.4219333333000002</v>
      </c>
      <c r="W27">
        <v>8.1229999999999993</v>
      </c>
      <c r="X27">
        <v>73.740866666599999</v>
      </c>
      <c r="Z27">
        <v>7364.12</v>
      </c>
      <c r="AB27">
        <v>7373.7</v>
      </c>
      <c r="AD27">
        <v>7364.12</v>
      </c>
      <c r="AF27" t="s">
        <v>182</v>
      </c>
      <c r="AG27" t="s">
        <v>185</v>
      </c>
      <c r="AI27" t="s">
        <v>186</v>
      </c>
      <c r="AJ27" t="s">
        <v>263</v>
      </c>
      <c r="AK27" t="s">
        <v>188</v>
      </c>
    </row>
    <row r="28" spans="1:37" x14ac:dyDescent="0.3">
      <c r="A28">
        <v>8001</v>
      </c>
      <c r="B28" s="207">
        <v>46121</v>
      </c>
      <c r="C28" t="s">
        <v>182</v>
      </c>
      <c r="D28" t="s">
        <v>264</v>
      </c>
      <c r="E28" t="s">
        <v>265</v>
      </c>
      <c r="F28" s="207">
        <v>49288</v>
      </c>
      <c r="G28">
        <v>2.2400000000000002</v>
      </c>
      <c r="H28">
        <v>412500</v>
      </c>
      <c r="I28">
        <v>181434114</v>
      </c>
      <c r="J28">
        <v>3.698</v>
      </c>
      <c r="K28">
        <v>7298</v>
      </c>
      <c r="L28">
        <v>301042500</v>
      </c>
      <c r="M28">
        <v>-5599941</v>
      </c>
      <c r="N28">
        <v>125208327</v>
      </c>
      <c r="O28">
        <v>2506191</v>
      </c>
      <c r="P28">
        <v>90858640</v>
      </c>
      <c r="Q28">
        <v>31843496</v>
      </c>
      <c r="S28">
        <v>0</v>
      </c>
      <c r="T28">
        <v>13071060</v>
      </c>
      <c r="U28">
        <v>1307090</v>
      </c>
      <c r="V28">
        <v>8.6712333333</v>
      </c>
      <c r="W28">
        <v>8.3628</v>
      </c>
      <c r="X28">
        <v>77.933300000000003</v>
      </c>
      <c r="Z28">
        <v>7294.79</v>
      </c>
      <c r="AB28">
        <v>7303.96</v>
      </c>
      <c r="AD28">
        <v>7296.63</v>
      </c>
      <c r="AF28" t="s">
        <v>182</v>
      </c>
      <c r="AG28" t="s">
        <v>185</v>
      </c>
      <c r="AI28" t="s">
        <v>186</v>
      </c>
      <c r="AJ28" t="s">
        <v>266</v>
      </c>
      <c r="AK28" t="s">
        <v>188</v>
      </c>
    </row>
    <row r="29" spans="1:37" x14ac:dyDescent="0.3">
      <c r="A29">
        <v>8001</v>
      </c>
      <c r="B29" s="207">
        <v>46121</v>
      </c>
      <c r="C29" t="s">
        <v>182</v>
      </c>
      <c r="D29" t="s">
        <v>267</v>
      </c>
      <c r="E29" t="s">
        <v>268</v>
      </c>
      <c r="F29" s="207">
        <v>49378</v>
      </c>
      <c r="G29">
        <v>1.82</v>
      </c>
      <c r="H29">
        <v>605300</v>
      </c>
      <c r="I29">
        <v>329895135</v>
      </c>
      <c r="J29">
        <v>3.7029999999999998</v>
      </c>
      <c r="K29">
        <v>7230</v>
      </c>
      <c r="L29">
        <v>437631900</v>
      </c>
      <c r="M29">
        <v>-7830425</v>
      </c>
      <c r="N29">
        <v>115567190</v>
      </c>
      <c r="O29">
        <v>2988025</v>
      </c>
      <c r="P29">
        <v>102134152</v>
      </c>
      <c r="Q29">
        <v>10445013</v>
      </c>
      <c r="S29">
        <v>0</v>
      </c>
      <c r="T29">
        <v>14717090</v>
      </c>
      <c r="U29">
        <v>1471690</v>
      </c>
      <c r="V29">
        <v>8.9177999999999997</v>
      </c>
      <c r="W29">
        <v>8.5984999999999996</v>
      </c>
      <c r="X29">
        <v>82.201833333300002</v>
      </c>
      <c r="Z29">
        <v>7227.87</v>
      </c>
      <c r="AB29">
        <v>7236.57</v>
      </c>
      <c r="AD29">
        <v>7227.87</v>
      </c>
      <c r="AF29" t="s">
        <v>182</v>
      </c>
      <c r="AG29" t="s">
        <v>185</v>
      </c>
      <c r="AI29" t="s">
        <v>186</v>
      </c>
      <c r="AJ29" t="s">
        <v>269</v>
      </c>
      <c r="AK29" t="s">
        <v>188</v>
      </c>
    </row>
    <row r="30" spans="1:37" x14ac:dyDescent="0.3">
      <c r="A30">
        <v>8001</v>
      </c>
      <c r="B30" s="207">
        <v>46121</v>
      </c>
      <c r="C30" t="s">
        <v>182</v>
      </c>
      <c r="D30" t="s">
        <v>270</v>
      </c>
      <c r="E30" t="s">
        <v>271</v>
      </c>
      <c r="F30" s="207">
        <v>49470</v>
      </c>
      <c r="G30">
        <v>2.2200000000000002</v>
      </c>
      <c r="H30">
        <v>412500</v>
      </c>
      <c r="I30">
        <v>177455919</v>
      </c>
      <c r="J30">
        <v>3.7080000000000002</v>
      </c>
      <c r="K30">
        <v>7161</v>
      </c>
      <c r="L30">
        <v>295391250</v>
      </c>
      <c r="M30">
        <v>-6155064</v>
      </c>
      <c r="N30">
        <v>124090395</v>
      </c>
      <c r="O30">
        <v>2483814</v>
      </c>
      <c r="P30">
        <v>90047402</v>
      </c>
      <c r="Q30">
        <v>31559179</v>
      </c>
      <c r="S30">
        <v>0</v>
      </c>
      <c r="T30">
        <v>12954360</v>
      </c>
      <c r="U30">
        <v>1295420</v>
      </c>
      <c r="V30">
        <v>9.1698666666000008</v>
      </c>
      <c r="W30">
        <v>8.8418666665999996</v>
      </c>
      <c r="X30">
        <v>86.659966666599999</v>
      </c>
      <c r="Z30">
        <v>7161.54</v>
      </c>
      <c r="AB30">
        <v>7165.97</v>
      </c>
      <c r="AD30">
        <v>7156.47</v>
      </c>
      <c r="AF30" t="s">
        <v>182</v>
      </c>
      <c r="AG30" t="s">
        <v>185</v>
      </c>
      <c r="AI30" t="s">
        <v>186</v>
      </c>
      <c r="AJ30" t="s">
        <v>272</v>
      </c>
      <c r="AK30" t="s">
        <v>188</v>
      </c>
    </row>
    <row r="31" spans="1:37" x14ac:dyDescent="0.3">
      <c r="A31">
        <v>8001</v>
      </c>
      <c r="B31" s="207">
        <v>46121</v>
      </c>
      <c r="C31" t="s">
        <v>182</v>
      </c>
      <c r="D31" t="s">
        <v>273</v>
      </c>
      <c r="E31" t="s">
        <v>274</v>
      </c>
      <c r="F31" s="207">
        <v>49562</v>
      </c>
      <c r="G31">
        <v>1.81</v>
      </c>
      <c r="H31">
        <v>605300</v>
      </c>
      <c r="I31">
        <v>322644803</v>
      </c>
      <c r="J31">
        <v>3.714</v>
      </c>
      <c r="K31">
        <v>7091</v>
      </c>
      <c r="L31">
        <v>429218230</v>
      </c>
      <c r="M31">
        <v>-8358779</v>
      </c>
      <c r="N31">
        <v>114932206</v>
      </c>
      <c r="O31">
        <v>2971609</v>
      </c>
      <c r="P31">
        <v>101572973</v>
      </c>
      <c r="Q31">
        <v>10387624</v>
      </c>
      <c r="S31">
        <v>0</v>
      </c>
      <c r="T31">
        <v>14636210</v>
      </c>
      <c r="U31">
        <v>1463600</v>
      </c>
      <c r="V31">
        <v>9.4219333333000002</v>
      </c>
      <c r="W31">
        <v>9.0855999999999995</v>
      </c>
      <c r="X31">
        <v>91.232200000000006</v>
      </c>
      <c r="Z31">
        <v>7089.83</v>
      </c>
      <c r="AB31">
        <v>7095.63</v>
      </c>
      <c r="AD31">
        <v>7089.18</v>
      </c>
      <c r="AF31" t="s">
        <v>182</v>
      </c>
      <c r="AG31" t="s">
        <v>185</v>
      </c>
      <c r="AI31" t="s">
        <v>186</v>
      </c>
      <c r="AJ31" t="s">
        <v>275</v>
      </c>
      <c r="AK31" t="s">
        <v>188</v>
      </c>
    </row>
    <row r="32" spans="1:37" x14ac:dyDescent="0.3">
      <c r="A32">
        <v>8001</v>
      </c>
      <c r="B32" s="207">
        <v>46121</v>
      </c>
      <c r="C32" t="s">
        <v>182</v>
      </c>
      <c r="D32" t="s">
        <v>276</v>
      </c>
      <c r="E32" t="s">
        <v>277</v>
      </c>
      <c r="F32" s="207">
        <v>49653</v>
      </c>
      <c r="G32">
        <v>2.21</v>
      </c>
      <c r="H32">
        <v>412500</v>
      </c>
      <c r="I32">
        <v>172682448</v>
      </c>
      <c r="J32">
        <v>3.7170000000000001</v>
      </c>
      <c r="K32">
        <v>7025</v>
      </c>
      <c r="L32">
        <v>289781250</v>
      </c>
      <c r="M32">
        <v>-6432627</v>
      </c>
      <c r="N32">
        <v>123531429</v>
      </c>
      <c r="O32">
        <v>2472627</v>
      </c>
      <c r="P32">
        <v>89641782</v>
      </c>
      <c r="Q32">
        <v>31417020</v>
      </c>
      <c r="S32">
        <v>0</v>
      </c>
      <c r="T32">
        <v>12896010</v>
      </c>
      <c r="U32">
        <v>1289580</v>
      </c>
      <c r="V32">
        <v>9.6712333333</v>
      </c>
      <c r="W32">
        <v>9.3254000000000001</v>
      </c>
      <c r="X32">
        <v>95.887</v>
      </c>
      <c r="Z32">
        <v>7025.72</v>
      </c>
      <c r="AB32">
        <v>7027.03</v>
      </c>
      <c r="AD32">
        <v>7023.75</v>
      </c>
      <c r="AF32" t="s">
        <v>182</v>
      </c>
      <c r="AG32" t="s">
        <v>185</v>
      </c>
      <c r="AI32" t="s">
        <v>186</v>
      </c>
      <c r="AJ32" t="s">
        <v>278</v>
      </c>
      <c r="AK32" t="s">
        <v>188</v>
      </c>
    </row>
    <row r="33" spans="1:37" x14ac:dyDescent="0.3">
      <c r="A33">
        <v>8001</v>
      </c>
      <c r="B33" s="207">
        <v>46121</v>
      </c>
      <c r="C33" t="s">
        <v>182</v>
      </c>
      <c r="D33" t="s">
        <v>279</v>
      </c>
      <c r="E33" t="s">
        <v>280</v>
      </c>
      <c r="F33" s="207">
        <v>49744</v>
      </c>
      <c r="G33">
        <v>1.64</v>
      </c>
      <c r="H33">
        <v>242800</v>
      </c>
      <c r="I33">
        <v>132298594</v>
      </c>
      <c r="J33">
        <v>3.7210000000000001</v>
      </c>
      <c r="K33">
        <v>6960</v>
      </c>
      <c r="L33">
        <v>168988800</v>
      </c>
      <c r="M33">
        <v>-3750827</v>
      </c>
      <c r="N33">
        <v>40441033</v>
      </c>
      <c r="O33">
        <v>1080027</v>
      </c>
      <c r="P33">
        <v>35781115</v>
      </c>
      <c r="Q33">
        <v>3579891</v>
      </c>
      <c r="S33">
        <v>0</v>
      </c>
      <c r="T33">
        <v>5160550</v>
      </c>
      <c r="U33">
        <v>516040</v>
      </c>
      <c r="V33">
        <v>9.9187333333000005</v>
      </c>
      <c r="W33">
        <v>9.5610999999999997</v>
      </c>
      <c r="X33">
        <v>100.6089333333</v>
      </c>
      <c r="Z33">
        <v>6964.11</v>
      </c>
      <c r="AB33">
        <v>6960.12</v>
      </c>
      <c r="AD33">
        <v>6956.79</v>
      </c>
      <c r="AF33" t="s">
        <v>182</v>
      </c>
      <c r="AG33" t="s">
        <v>185</v>
      </c>
      <c r="AI33" t="s">
        <v>186</v>
      </c>
      <c r="AJ33" t="s">
        <v>281</v>
      </c>
      <c r="AK33" t="s">
        <v>188</v>
      </c>
    </row>
    <row r="34" spans="1:37" x14ac:dyDescent="0.3">
      <c r="A34">
        <v>8001</v>
      </c>
      <c r="B34" s="207">
        <v>46121</v>
      </c>
      <c r="C34" t="s">
        <v>182</v>
      </c>
      <c r="D34" t="s">
        <v>282</v>
      </c>
      <c r="E34" t="s">
        <v>283</v>
      </c>
      <c r="F34" s="207">
        <v>49836</v>
      </c>
      <c r="G34">
        <v>2.19</v>
      </c>
      <c r="H34">
        <v>412500</v>
      </c>
      <c r="I34">
        <v>169735500</v>
      </c>
      <c r="J34">
        <v>3.7120000000000002</v>
      </c>
      <c r="K34">
        <v>6902</v>
      </c>
      <c r="L34">
        <v>284707500</v>
      </c>
      <c r="M34">
        <v>-7441500</v>
      </c>
      <c r="N34">
        <v>122413500</v>
      </c>
      <c r="O34">
        <v>2450250</v>
      </c>
      <c r="P34">
        <v>88830547</v>
      </c>
      <c r="Q34">
        <v>31132703</v>
      </c>
      <c r="S34">
        <v>0</v>
      </c>
      <c r="T34">
        <v>12779290</v>
      </c>
      <c r="U34">
        <v>1277920</v>
      </c>
      <c r="V34">
        <v>10.170766666600001</v>
      </c>
      <c r="W34">
        <v>9.8057333332999992</v>
      </c>
      <c r="X34">
        <v>105.56359999999999</v>
      </c>
      <c r="Z34">
        <v>6908.87</v>
      </c>
      <c r="AB34">
        <v>6898.04</v>
      </c>
      <c r="AD34">
        <v>6901.42</v>
      </c>
      <c r="AF34" t="s">
        <v>182</v>
      </c>
      <c r="AG34" t="s">
        <v>185</v>
      </c>
      <c r="AI34" t="s">
        <v>186</v>
      </c>
      <c r="AJ34" t="s">
        <v>284</v>
      </c>
      <c r="AK34" t="s">
        <v>188</v>
      </c>
    </row>
    <row r="35" spans="1:37" x14ac:dyDescent="0.3">
      <c r="A35">
        <v>8001</v>
      </c>
      <c r="B35" s="207">
        <v>46121</v>
      </c>
      <c r="C35" t="s">
        <v>182</v>
      </c>
      <c r="D35" t="s">
        <v>285</v>
      </c>
      <c r="E35" t="s">
        <v>286</v>
      </c>
      <c r="F35" s="207">
        <v>49928</v>
      </c>
      <c r="G35">
        <v>1.63</v>
      </c>
      <c r="H35">
        <v>300000</v>
      </c>
      <c r="I35">
        <v>160672686</v>
      </c>
      <c r="J35">
        <v>3.706</v>
      </c>
      <c r="K35">
        <v>6843</v>
      </c>
      <c r="L35">
        <v>205290000</v>
      </c>
      <c r="M35">
        <v>-5046328</v>
      </c>
      <c r="N35">
        <v>49663642</v>
      </c>
      <c r="O35">
        <v>1326328</v>
      </c>
      <c r="P35">
        <v>44404779</v>
      </c>
      <c r="Q35">
        <v>3932535</v>
      </c>
      <c r="S35">
        <v>0</v>
      </c>
      <c r="T35">
        <v>6402350</v>
      </c>
      <c r="U35">
        <v>640220</v>
      </c>
      <c r="V35">
        <v>10.4228333333</v>
      </c>
      <c r="W35">
        <v>10.050533333300001</v>
      </c>
      <c r="X35">
        <v>110.62909999999999</v>
      </c>
      <c r="Z35">
        <v>6848.82</v>
      </c>
      <c r="AB35">
        <v>6838.49</v>
      </c>
      <c r="AD35">
        <v>6841.93</v>
      </c>
      <c r="AF35" t="s">
        <v>182</v>
      </c>
      <c r="AG35" t="s">
        <v>185</v>
      </c>
      <c r="AI35" t="s">
        <v>186</v>
      </c>
      <c r="AJ35" t="s">
        <v>287</v>
      </c>
      <c r="AK35" t="s">
        <v>188</v>
      </c>
    </row>
    <row r="36" spans="1:37" x14ac:dyDescent="0.3">
      <c r="A36">
        <v>8001</v>
      </c>
      <c r="B36" s="207">
        <v>46121</v>
      </c>
      <c r="C36" t="s">
        <v>182</v>
      </c>
      <c r="D36" t="s">
        <v>288</v>
      </c>
      <c r="E36" t="s">
        <v>289</v>
      </c>
      <c r="F36" s="207">
        <v>50019</v>
      </c>
      <c r="G36">
        <v>2.17</v>
      </c>
      <c r="H36">
        <v>412500</v>
      </c>
      <c r="I36">
        <v>166499805</v>
      </c>
      <c r="J36">
        <v>3.7010000000000001</v>
      </c>
      <c r="K36">
        <v>6784</v>
      </c>
      <c r="L36">
        <v>279840000</v>
      </c>
      <c r="M36">
        <v>-7955373</v>
      </c>
      <c r="N36">
        <v>121295568</v>
      </c>
      <c r="O36">
        <v>2427873</v>
      </c>
      <c r="P36">
        <v>88019308</v>
      </c>
      <c r="Q36">
        <v>30848387</v>
      </c>
      <c r="S36">
        <v>0</v>
      </c>
      <c r="T36">
        <v>12662590</v>
      </c>
      <c r="U36">
        <v>1266250</v>
      </c>
      <c r="V36">
        <v>10.6721333333</v>
      </c>
      <c r="W36">
        <v>10.291166666600001</v>
      </c>
      <c r="X36">
        <v>115.76413333329999</v>
      </c>
      <c r="Z36">
        <v>6788.59</v>
      </c>
      <c r="AB36">
        <v>6781.61</v>
      </c>
      <c r="AD36">
        <v>6784.4</v>
      </c>
      <c r="AF36" t="s">
        <v>182</v>
      </c>
      <c r="AG36" t="s">
        <v>185</v>
      </c>
      <c r="AI36" t="s">
        <v>186</v>
      </c>
      <c r="AJ36" t="s">
        <v>290</v>
      </c>
      <c r="AK36" t="s">
        <v>188</v>
      </c>
    </row>
    <row r="37" spans="1:37" x14ac:dyDescent="0.3">
      <c r="A37">
        <v>8001</v>
      </c>
      <c r="B37" s="207">
        <v>46121</v>
      </c>
      <c r="C37" t="s">
        <v>182</v>
      </c>
      <c r="D37" t="s">
        <v>291</v>
      </c>
      <c r="E37" t="s">
        <v>292</v>
      </c>
      <c r="F37" s="207">
        <v>50109</v>
      </c>
      <c r="G37">
        <v>1.63</v>
      </c>
      <c r="H37">
        <v>400000</v>
      </c>
      <c r="I37">
        <v>210110248</v>
      </c>
      <c r="J37">
        <v>3.698</v>
      </c>
      <c r="K37">
        <v>6727</v>
      </c>
      <c r="L37">
        <v>269080000</v>
      </c>
      <c r="M37">
        <v>-7248438</v>
      </c>
      <c r="N37">
        <v>66218190</v>
      </c>
      <c r="O37">
        <v>1768438</v>
      </c>
      <c r="P37">
        <v>59862545</v>
      </c>
      <c r="Q37">
        <v>4587207</v>
      </c>
      <c r="S37">
        <v>0</v>
      </c>
      <c r="T37">
        <v>8628330</v>
      </c>
      <c r="U37">
        <v>862820</v>
      </c>
      <c r="V37">
        <v>10.918733333300001</v>
      </c>
      <c r="W37">
        <v>10.5275666666</v>
      </c>
      <c r="X37">
        <v>120.9583333333</v>
      </c>
      <c r="Z37">
        <v>6729.46</v>
      </c>
      <c r="AB37">
        <v>6726.62</v>
      </c>
      <c r="AD37">
        <v>6725.21</v>
      </c>
      <c r="AF37" t="s">
        <v>182</v>
      </c>
      <c r="AG37" t="s">
        <v>185</v>
      </c>
      <c r="AI37" t="s">
        <v>186</v>
      </c>
      <c r="AJ37" t="s">
        <v>293</v>
      </c>
      <c r="AK37" t="s">
        <v>188</v>
      </c>
    </row>
    <row r="38" spans="1:37" x14ac:dyDescent="0.3">
      <c r="A38">
        <v>8001</v>
      </c>
      <c r="B38" s="207">
        <v>46121</v>
      </c>
      <c r="C38" t="s">
        <v>182</v>
      </c>
      <c r="D38" t="s">
        <v>294</v>
      </c>
      <c r="E38" t="s">
        <v>295</v>
      </c>
      <c r="F38" s="207">
        <v>50201</v>
      </c>
      <c r="G38">
        <v>2.16</v>
      </c>
      <c r="H38">
        <v>412500</v>
      </c>
      <c r="I38">
        <v>162592584</v>
      </c>
      <c r="J38">
        <v>3.694</v>
      </c>
      <c r="K38">
        <v>6668</v>
      </c>
      <c r="L38">
        <v>275055000</v>
      </c>
      <c r="M38">
        <v>-8274186</v>
      </c>
      <c r="N38">
        <v>120736602</v>
      </c>
      <c r="O38">
        <v>2416686</v>
      </c>
      <c r="P38">
        <v>87613688</v>
      </c>
      <c r="Q38">
        <v>30706228</v>
      </c>
      <c r="S38">
        <v>0</v>
      </c>
      <c r="T38">
        <v>12604230</v>
      </c>
      <c r="U38">
        <v>1260410</v>
      </c>
      <c r="V38">
        <v>11.170766666600001</v>
      </c>
      <c r="W38">
        <v>10.7717666666</v>
      </c>
      <c r="X38">
        <v>126.3754</v>
      </c>
      <c r="Z38">
        <v>6667.2</v>
      </c>
      <c r="AB38">
        <v>6670.07</v>
      </c>
      <c r="AD38">
        <v>6667.92</v>
      </c>
      <c r="AF38" t="s">
        <v>182</v>
      </c>
      <c r="AG38" t="s">
        <v>185</v>
      </c>
      <c r="AI38" t="s">
        <v>186</v>
      </c>
      <c r="AJ38" t="s">
        <v>296</v>
      </c>
      <c r="AK38" t="s">
        <v>188</v>
      </c>
    </row>
    <row r="39" spans="1:37" x14ac:dyDescent="0.3">
      <c r="A39">
        <v>8001</v>
      </c>
      <c r="B39" s="207">
        <v>46121</v>
      </c>
      <c r="C39" t="s">
        <v>182</v>
      </c>
      <c r="D39" t="s">
        <v>297</v>
      </c>
      <c r="E39" t="s">
        <v>298</v>
      </c>
      <c r="F39" s="207">
        <v>50293</v>
      </c>
      <c r="G39">
        <v>1.62</v>
      </c>
      <c r="H39">
        <v>400000</v>
      </c>
      <c r="I39">
        <v>206225644</v>
      </c>
      <c r="J39">
        <v>3.6909999999999998</v>
      </c>
      <c r="K39">
        <v>6609</v>
      </c>
      <c r="L39">
        <v>264360000</v>
      </c>
      <c r="M39">
        <v>-7677588</v>
      </c>
      <c r="N39">
        <v>65811944</v>
      </c>
      <c r="O39">
        <v>1757588</v>
      </c>
      <c r="P39">
        <v>59495292</v>
      </c>
      <c r="Q39">
        <v>4559064</v>
      </c>
      <c r="S39">
        <v>0</v>
      </c>
      <c r="T39">
        <v>8575400</v>
      </c>
      <c r="U39">
        <v>857530</v>
      </c>
      <c r="V39">
        <v>11.4228333333</v>
      </c>
      <c r="W39">
        <v>11.0163666666</v>
      </c>
      <c r="X39">
        <v>131.90823333329999</v>
      </c>
      <c r="Z39">
        <v>6606.76</v>
      </c>
      <c r="AB39">
        <v>6613.32</v>
      </c>
      <c r="AD39">
        <v>6607.49</v>
      </c>
      <c r="AF39" t="s">
        <v>182</v>
      </c>
      <c r="AG39" t="s">
        <v>185</v>
      </c>
      <c r="AI39" t="s">
        <v>186</v>
      </c>
      <c r="AJ39" t="s">
        <v>299</v>
      </c>
      <c r="AK39" t="s">
        <v>188</v>
      </c>
    </row>
    <row r="40" spans="1:37" x14ac:dyDescent="0.3">
      <c r="A40">
        <v>8001</v>
      </c>
      <c r="B40" s="207">
        <v>46121</v>
      </c>
      <c r="C40" t="s">
        <v>182</v>
      </c>
      <c r="D40" t="s">
        <v>300</v>
      </c>
      <c r="E40" t="s">
        <v>301</v>
      </c>
      <c r="F40" s="207">
        <v>50384</v>
      </c>
      <c r="G40">
        <v>2.14</v>
      </c>
      <c r="H40">
        <v>412500</v>
      </c>
      <c r="I40">
        <v>159398139</v>
      </c>
      <c r="J40">
        <v>3.6850000000000001</v>
      </c>
      <c r="K40">
        <v>6554</v>
      </c>
      <c r="L40">
        <v>270352500</v>
      </c>
      <c r="M40">
        <v>-8664309</v>
      </c>
      <c r="N40">
        <v>119618670</v>
      </c>
      <c r="O40">
        <v>2394309</v>
      </c>
      <c r="P40">
        <v>86802450</v>
      </c>
      <c r="Q40">
        <v>30421911</v>
      </c>
      <c r="S40">
        <v>0</v>
      </c>
      <c r="T40">
        <v>12487530</v>
      </c>
      <c r="U40">
        <v>1248740</v>
      </c>
      <c r="V40">
        <v>11.6721333333</v>
      </c>
      <c r="W40">
        <v>11.2571666666</v>
      </c>
      <c r="X40">
        <v>137.51276666659999</v>
      </c>
      <c r="Z40">
        <v>6551.05</v>
      </c>
      <c r="AB40">
        <v>6559.17</v>
      </c>
      <c r="AD40">
        <v>6552.53</v>
      </c>
      <c r="AF40" t="s">
        <v>182</v>
      </c>
      <c r="AG40" t="s">
        <v>185</v>
      </c>
      <c r="AI40" t="s">
        <v>186</v>
      </c>
      <c r="AJ40" t="s">
        <v>302</v>
      </c>
      <c r="AK40" t="s">
        <v>188</v>
      </c>
    </row>
    <row r="41" spans="1:37" x14ac:dyDescent="0.3">
      <c r="A41">
        <v>8001</v>
      </c>
      <c r="B41" s="207">
        <v>46121</v>
      </c>
      <c r="C41" t="s">
        <v>182</v>
      </c>
      <c r="D41" t="s">
        <v>303</v>
      </c>
      <c r="E41" t="s">
        <v>304</v>
      </c>
      <c r="F41" s="207">
        <v>50474</v>
      </c>
      <c r="G41">
        <v>1.61</v>
      </c>
      <c r="H41">
        <v>400000</v>
      </c>
      <c r="I41">
        <v>202461042</v>
      </c>
      <c r="J41">
        <v>3.681</v>
      </c>
      <c r="K41">
        <v>6499</v>
      </c>
      <c r="L41">
        <v>259960000</v>
      </c>
      <c r="M41">
        <v>-7906740</v>
      </c>
      <c r="N41">
        <v>65405698</v>
      </c>
      <c r="O41">
        <v>1746740</v>
      </c>
      <c r="P41">
        <v>59128037</v>
      </c>
      <c r="Q41">
        <v>4530921</v>
      </c>
      <c r="S41">
        <v>0</v>
      </c>
      <c r="T41">
        <v>8522450</v>
      </c>
      <c r="U41">
        <v>852240</v>
      </c>
      <c r="V41">
        <v>11.918733333300001</v>
      </c>
      <c r="W41">
        <v>11.4937333333</v>
      </c>
      <c r="X41">
        <v>143.16829999999999</v>
      </c>
      <c r="Z41">
        <v>6496.38</v>
      </c>
      <c r="AB41">
        <v>6506.84</v>
      </c>
      <c r="AD41">
        <v>6495.63</v>
      </c>
      <c r="AF41" t="s">
        <v>182</v>
      </c>
      <c r="AG41" t="s">
        <v>185</v>
      </c>
      <c r="AI41" t="s">
        <v>186</v>
      </c>
      <c r="AJ41" t="s">
        <v>305</v>
      </c>
      <c r="AK41" t="s">
        <v>188</v>
      </c>
    </row>
    <row r="42" spans="1:37" x14ac:dyDescent="0.3">
      <c r="A42">
        <v>8001</v>
      </c>
      <c r="B42" s="207">
        <v>46121</v>
      </c>
      <c r="C42" t="s">
        <v>182</v>
      </c>
      <c r="D42" t="s">
        <v>306</v>
      </c>
      <c r="E42" t="s">
        <v>307</v>
      </c>
      <c r="F42" s="207">
        <v>50566</v>
      </c>
      <c r="G42">
        <v>2.13</v>
      </c>
      <c r="H42">
        <v>412500</v>
      </c>
      <c r="I42">
        <v>155490915</v>
      </c>
      <c r="J42">
        <v>3.681</v>
      </c>
      <c r="K42">
        <v>6440</v>
      </c>
      <c r="L42">
        <v>265650000</v>
      </c>
      <c r="M42">
        <v>-8900619</v>
      </c>
      <c r="N42">
        <v>119059704</v>
      </c>
      <c r="O42">
        <v>2383119</v>
      </c>
      <c r="P42">
        <v>86396832</v>
      </c>
      <c r="Q42">
        <v>30279753</v>
      </c>
      <c r="S42">
        <v>0</v>
      </c>
      <c r="T42">
        <v>12429180</v>
      </c>
      <c r="U42">
        <v>1242910</v>
      </c>
      <c r="V42">
        <v>12.170766666600001</v>
      </c>
      <c r="W42">
        <v>11.7376</v>
      </c>
      <c r="X42">
        <v>149.04763333330001</v>
      </c>
      <c r="Z42">
        <v>6439.38</v>
      </c>
      <c r="AB42">
        <v>6448.46</v>
      </c>
      <c r="AD42">
        <v>6433.34</v>
      </c>
      <c r="AF42" t="s">
        <v>182</v>
      </c>
      <c r="AG42" t="s">
        <v>185</v>
      </c>
      <c r="AI42" t="s">
        <v>186</v>
      </c>
      <c r="AJ42" t="s">
        <v>308</v>
      </c>
      <c r="AK42" t="s">
        <v>188</v>
      </c>
    </row>
    <row r="43" spans="1:37" x14ac:dyDescent="0.3">
      <c r="A43">
        <v>8001</v>
      </c>
      <c r="B43" s="207">
        <v>46121</v>
      </c>
      <c r="C43" t="s">
        <v>182</v>
      </c>
      <c r="D43" t="s">
        <v>309</v>
      </c>
      <c r="E43" t="s">
        <v>310</v>
      </c>
      <c r="F43" s="207">
        <v>50658</v>
      </c>
      <c r="G43">
        <v>1.61</v>
      </c>
      <c r="H43">
        <v>400000</v>
      </c>
      <c r="I43">
        <v>198101042</v>
      </c>
      <c r="J43">
        <v>3.681</v>
      </c>
      <c r="K43">
        <v>6381</v>
      </c>
      <c r="L43">
        <v>255240000</v>
      </c>
      <c r="M43">
        <v>-8266740</v>
      </c>
      <c r="N43">
        <v>65405698</v>
      </c>
      <c r="O43">
        <v>1746740</v>
      </c>
      <c r="P43">
        <v>59128037</v>
      </c>
      <c r="Q43">
        <v>4530921</v>
      </c>
      <c r="S43">
        <v>0</v>
      </c>
      <c r="T43">
        <v>8522450</v>
      </c>
      <c r="U43">
        <v>852240</v>
      </c>
      <c r="V43">
        <v>12.4228333333</v>
      </c>
      <c r="W43">
        <v>11.9819</v>
      </c>
      <c r="X43">
        <v>155.0463</v>
      </c>
      <c r="Z43">
        <v>6381.28</v>
      </c>
      <c r="AB43">
        <v>6388.16</v>
      </c>
      <c r="AD43">
        <v>6375.16</v>
      </c>
      <c r="AF43" t="s">
        <v>182</v>
      </c>
      <c r="AG43" t="s">
        <v>185</v>
      </c>
      <c r="AI43" t="s">
        <v>186</v>
      </c>
      <c r="AJ43" t="s">
        <v>311</v>
      </c>
      <c r="AK43" t="s">
        <v>188</v>
      </c>
    </row>
    <row r="44" spans="1:37" x14ac:dyDescent="0.3">
      <c r="A44">
        <v>8001</v>
      </c>
      <c r="B44" s="207">
        <v>46121</v>
      </c>
      <c r="C44" t="s">
        <v>182</v>
      </c>
      <c r="D44" t="s">
        <v>312</v>
      </c>
      <c r="E44" t="s">
        <v>313</v>
      </c>
      <c r="F44" s="207">
        <v>50749</v>
      </c>
      <c r="G44">
        <v>2.11</v>
      </c>
      <c r="H44">
        <v>412500</v>
      </c>
      <c r="I44">
        <v>152131470</v>
      </c>
      <c r="J44">
        <v>3.681</v>
      </c>
      <c r="K44">
        <v>6324</v>
      </c>
      <c r="L44">
        <v>260865000</v>
      </c>
      <c r="M44">
        <v>-9208242</v>
      </c>
      <c r="N44">
        <v>117941772</v>
      </c>
      <c r="O44">
        <v>2360742</v>
      </c>
      <c r="P44">
        <v>85585594</v>
      </c>
      <c r="Q44">
        <v>29995436</v>
      </c>
      <c r="S44">
        <v>0</v>
      </c>
      <c r="T44">
        <v>12312470</v>
      </c>
      <c r="U44">
        <v>1231230</v>
      </c>
      <c r="V44">
        <v>12.6721333333</v>
      </c>
      <c r="W44">
        <v>12.2221333333</v>
      </c>
      <c r="X44">
        <v>161.1004666666</v>
      </c>
      <c r="Z44">
        <v>6324.88</v>
      </c>
      <c r="AB44">
        <v>6330.29</v>
      </c>
      <c r="AD44">
        <v>6318.69</v>
      </c>
      <c r="AF44" t="s">
        <v>182</v>
      </c>
      <c r="AG44" t="s">
        <v>185</v>
      </c>
      <c r="AI44" t="s">
        <v>186</v>
      </c>
      <c r="AJ44" t="s">
        <v>314</v>
      </c>
      <c r="AK44" t="s">
        <v>188</v>
      </c>
    </row>
    <row r="45" spans="1:37" x14ac:dyDescent="0.3">
      <c r="A45">
        <v>8001</v>
      </c>
      <c r="B45" s="207">
        <v>46121</v>
      </c>
      <c r="C45" t="s">
        <v>182</v>
      </c>
      <c r="D45" t="s">
        <v>315</v>
      </c>
      <c r="E45" t="s">
        <v>316</v>
      </c>
      <c r="F45" s="207">
        <v>50839</v>
      </c>
      <c r="G45">
        <v>1.6</v>
      </c>
      <c r="H45">
        <v>400000</v>
      </c>
      <c r="I45">
        <v>194136440</v>
      </c>
      <c r="J45">
        <v>3.681</v>
      </c>
      <c r="K45">
        <v>6269</v>
      </c>
      <c r="L45">
        <v>250760000</v>
      </c>
      <c r="M45">
        <v>-8375892</v>
      </c>
      <c r="N45">
        <v>64999452</v>
      </c>
      <c r="O45">
        <v>1735892</v>
      </c>
      <c r="P45">
        <v>58760781</v>
      </c>
      <c r="Q45">
        <v>4502779</v>
      </c>
      <c r="S45">
        <v>0</v>
      </c>
      <c r="T45">
        <v>8469520</v>
      </c>
      <c r="U45">
        <v>846950</v>
      </c>
      <c r="V45">
        <v>12.918733333300001</v>
      </c>
      <c r="W45">
        <v>12.4582666666</v>
      </c>
      <c r="X45">
        <v>167.20113333329999</v>
      </c>
      <c r="Z45">
        <v>6270.12</v>
      </c>
      <c r="AB45">
        <v>6273.25</v>
      </c>
      <c r="AD45">
        <v>6263.88</v>
      </c>
      <c r="AF45" t="s">
        <v>182</v>
      </c>
      <c r="AG45" t="s">
        <v>185</v>
      </c>
      <c r="AI45" t="s">
        <v>186</v>
      </c>
      <c r="AJ45" t="s">
        <v>317</v>
      </c>
      <c r="AK45" t="s">
        <v>188</v>
      </c>
    </row>
    <row r="46" spans="1:37" x14ac:dyDescent="0.3">
      <c r="A46">
        <v>8001</v>
      </c>
      <c r="B46" s="207">
        <v>46121</v>
      </c>
      <c r="C46" t="s">
        <v>182</v>
      </c>
      <c r="D46" t="s">
        <v>318</v>
      </c>
      <c r="E46" t="s">
        <v>319</v>
      </c>
      <c r="F46" s="207">
        <v>50931</v>
      </c>
      <c r="G46">
        <v>2.1</v>
      </c>
      <c r="H46">
        <v>412500</v>
      </c>
      <c r="I46">
        <v>148224249</v>
      </c>
      <c r="J46">
        <v>3.68</v>
      </c>
      <c r="K46">
        <v>6212</v>
      </c>
      <c r="L46">
        <v>256245000</v>
      </c>
      <c r="M46">
        <v>-9362055</v>
      </c>
      <c r="N46">
        <v>117382806</v>
      </c>
      <c r="O46">
        <v>2349555</v>
      </c>
      <c r="P46">
        <v>85179974</v>
      </c>
      <c r="Q46">
        <v>29853277</v>
      </c>
      <c r="S46">
        <v>0</v>
      </c>
      <c r="T46">
        <v>12254120</v>
      </c>
      <c r="U46">
        <v>1225400</v>
      </c>
      <c r="V46">
        <v>13.170766666600001</v>
      </c>
      <c r="W46">
        <v>12.702199999999999</v>
      </c>
      <c r="X46">
        <v>173.5531</v>
      </c>
      <c r="Z46">
        <v>6215.38</v>
      </c>
      <c r="AB46">
        <v>6215.38</v>
      </c>
      <c r="AD46">
        <v>6206.7</v>
      </c>
      <c r="AF46" t="s">
        <v>182</v>
      </c>
      <c r="AG46" t="s">
        <v>185</v>
      </c>
      <c r="AI46" t="s">
        <v>186</v>
      </c>
      <c r="AJ46" t="s">
        <v>320</v>
      </c>
      <c r="AK46" t="s">
        <v>188</v>
      </c>
    </row>
    <row r="47" spans="1:37" x14ac:dyDescent="0.3">
      <c r="A47">
        <v>8001</v>
      </c>
      <c r="B47" s="207">
        <v>46121</v>
      </c>
      <c r="C47" t="s">
        <v>182</v>
      </c>
      <c r="D47" t="s">
        <v>321</v>
      </c>
      <c r="E47" t="s">
        <v>322</v>
      </c>
      <c r="F47" s="207">
        <v>51023</v>
      </c>
      <c r="G47">
        <v>1.59</v>
      </c>
      <c r="H47">
        <v>400000</v>
      </c>
      <c r="I47">
        <v>190211836</v>
      </c>
      <c r="J47">
        <v>3.6789999999999998</v>
      </c>
      <c r="K47">
        <v>6156</v>
      </c>
      <c r="L47">
        <v>246240000</v>
      </c>
      <c r="M47">
        <v>-8565040</v>
      </c>
      <c r="N47">
        <v>64593204</v>
      </c>
      <c r="O47">
        <v>1725040</v>
      </c>
      <c r="P47">
        <v>58393527</v>
      </c>
      <c r="Q47">
        <v>4474637</v>
      </c>
      <c r="S47">
        <v>0</v>
      </c>
      <c r="T47">
        <v>8416590</v>
      </c>
      <c r="U47">
        <v>841650</v>
      </c>
      <c r="V47">
        <v>13.4228333333</v>
      </c>
      <c r="W47">
        <v>12.946666666600001</v>
      </c>
      <c r="X47">
        <v>180.0278666666</v>
      </c>
      <c r="Z47">
        <v>6162.64</v>
      </c>
      <c r="AB47">
        <v>6157.05</v>
      </c>
      <c r="AD47">
        <v>6150.68</v>
      </c>
      <c r="AF47" t="s">
        <v>182</v>
      </c>
      <c r="AG47" t="s">
        <v>185</v>
      </c>
      <c r="AI47" t="s">
        <v>186</v>
      </c>
      <c r="AJ47" t="s">
        <v>323</v>
      </c>
      <c r="AK47" t="s">
        <v>188</v>
      </c>
    </row>
    <row r="48" spans="1:37" x14ac:dyDescent="0.3">
      <c r="A48">
        <v>8001</v>
      </c>
      <c r="B48" s="207">
        <v>46121</v>
      </c>
      <c r="C48" t="s">
        <v>182</v>
      </c>
      <c r="D48" t="s">
        <v>324</v>
      </c>
      <c r="E48" t="s">
        <v>325</v>
      </c>
      <c r="F48" s="207">
        <v>51114</v>
      </c>
      <c r="G48">
        <v>2.09</v>
      </c>
      <c r="H48">
        <v>412500</v>
      </c>
      <c r="I48">
        <v>144152025</v>
      </c>
      <c r="J48">
        <v>3.6829999999999998</v>
      </c>
      <c r="K48">
        <v>6098</v>
      </c>
      <c r="L48">
        <v>251542500</v>
      </c>
      <c r="M48">
        <v>-9433365</v>
      </c>
      <c r="N48">
        <v>116823840</v>
      </c>
      <c r="O48">
        <v>2338365</v>
      </c>
      <c r="P48">
        <v>84774356</v>
      </c>
      <c r="Q48">
        <v>29711119</v>
      </c>
      <c r="S48">
        <v>0</v>
      </c>
      <c r="T48">
        <v>12195770</v>
      </c>
      <c r="U48">
        <v>1219570</v>
      </c>
      <c r="V48">
        <v>13.6721333333</v>
      </c>
      <c r="W48">
        <v>13.186400000000001</v>
      </c>
      <c r="X48">
        <v>186.53139999999999</v>
      </c>
      <c r="Z48">
        <v>6098.72</v>
      </c>
      <c r="AB48">
        <v>6101.13</v>
      </c>
      <c r="AD48">
        <v>6096.3</v>
      </c>
      <c r="AF48" t="s">
        <v>182</v>
      </c>
      <c r="AG48" t="s">
        <v>185</v>
      </c>
      <c r="AI48" t="s">
        <v>186</v>
      </c>
      <c r="AJ48" t="s">
        <v>326</v>
      </c>
      <c r="AK48" t="s">
        <v>188</v>
      </c>
    </row>
    <row r="49" spans="1:37" x14ac:dyDescent="0.3">
      <c r="A49">
        <v>8001</v>
      </c>
      <c r="B49" s="207">
        <v>46121</v>
      </c>
      <c r="C49" t="s">
        <v>182</v>
      </c>
      <c r="D49" t="s">
        <v>327</v>
      </c>
      <c r="E49" t="s">
        <v>328</v>
      </c>
      <c r="F49" s="207">
        <v>51205</v>
      </c>
      <c r="G49">
        <v>1.59</v>
      </c>
      <c r="H49">
        <v>400000</v>
      </c>
      <c r="I49">
        <v>185651836</v>
      </c>
      <c r="J49">
        <v>3.6880000000000002</v>
      </c>
      <c r="K49">
        <v>6040</v>
      </c>
      <c r="L49">
        <v>241600000</v>
      </c>
      <c r="M49">
        <v>-8645040</v>
      </c>
      <c r="N49">
        <v>64593204</v>
      </c>
      <c r="O49">
        <v>1725040</v>
      </c>
      <c r="P49">
        <v>58393527</v>
      </c>
      <c r="Q49">
        <v>4474637</v>
      </c>
      <c r="S49">
        <v>0</v>
      </c>
      <c r="T49">
        <v>8416590</v>
      </c>
      <c r="U49">
        <v>841650</v>
      </c>
      <c r="V49">
        <v>13.9196333333</v>
      </c>
      <c r="W49">
        <v>13.4218333333</v>
      </c>
      <c r="X49">
        <v>193.06620000000001</v>
      </c>
      <c r="Z49">
        <v>6036.22</v>
      </c>
      <c r="AB49">
        <v>6045.95</v>
      </c>
      <c r="AD49">
        <v>6039.46</v>
      </c>
      <c r="AF49" t="s">
        <v>182</v>
      </c>
      <c r="AG49" t="s">
        <v>185</v>
      </c>
      <c r="AI49" t="s">
        <v>186</v>
      </c>
      <c r="AJ49" t="s">
        <v>329</v>
      </c>
      <c r="AK49" t="s">
        <v>188</v>
      </c>
    </row>
    <row r="50" spans="1:37" x14ac:dyDescent="0.3">
      <c r="A50">
        <v>8001</v>
      </c>
      <c r="B50" s="207">
        <v>46121</v>
      </c>
      <c r="C50" t="s">
        <v>182</v>
      </c>
      <c r="D50" t="s">
        <v>330</v>
      </c>
      <c r="E50" t="s">
        <v>331</v>
      </c>
      <c r="F50" s="207">
        <v>51297</v>
      </c>
      <c r="G50">
        <v>2.0699999999999998</v>
      </c>
      <c r="H50">
        <v>412500</v>
      </c>
      <c r="I50">
        <v>140627580</v>
      </c>
      <c r="J50">
        <v>3.69</v>
      </c>
      <c r="K50">
        <v>5984</v>
      </c>
      <c r="L50">
        <v>246840000</v>
      </c>
      <c r="M50">
        <v>-9493488</v>
      </c>
      <c r="N50">
        <v>115705908</v>
      </c>
      <c r="O50">
        <v>2315988</v>
      </c>
      <c r="P50">
        <v>83963118</v>
      </c>
      <c r="Q50">
        <v>29426802</v>
      </c>
      <c r="S50">
        <v>0</v>
      </c>
      <c r="T50">
        <v>12079060</v>
      </c>
      <c r="U50">
        <v>1207890</v>
      </c>
      <c r="V50">
        <v>14.1717</v>
      </c>
      <c r="W50">
        <v>13.6654666666</v>
      </c>
      <c r="X50">
        <v>199.88030000000001</v>
      </c>
      <c r="Z50">
        <v>5977.76</v>
      </c>
      <c r="AB50">
        <v>5990.03</v>
      </c>
      <c r="AD50">
        <v>5985.12</v>
      </c>
      <c r="AF50" t="s">
        <v>182</v>
      </c>
      <c r="AG50" t="s">
        <v>185</v>
      </c>
      <c r="AI50" t="s">
        <v>186</v>
      </c>
      <c r="AJ50" t="s">
        <v>332</v>
      </c>
      <c r="AK50" t="s">
        <v>188</v>
      </c>
    </row>
    <row r="51" spans="1:37" x14ac:dyDescent="0.3">
      <c r="A51">
        <v>8001</v>
      </c>
      <c r="B51" s="207">
        <v>46121</v>
      </c>
      <c r="C51" t="s">
        <v>182</v>
      </c>
      <c r="D51" t="s">
        <v>333</v>
      </c>
      <c r="E51" t="s">
        <v>334</v>
      </c>
      <c r="F51" s="207">
        <v>51389</v>
      </c>
      <c r="G51">
        <v>1.58</v>
      </c>
      <c r="H51">
        <v>400000</v>
      </c>
      <c r="I51">
        <v>181567234</v>
      </c>
      <c r="J51">
        <v>3.6960000000000002</v>
      </c>
      <c r="K51">
        <v>5924</v>
      </c>
      <c r="L51">
        <v>236960000</v>
      </c>
      <c r="M51">
        <v>-8794192</v>
      </c>
      <c r="N51">
        <v>64186958</v>
      </c>
      <c r="O51">
        <v>1714192</v>
      </c>
      <c r="P51">
        <v>58026271</v>
      </c>
      <c r="Q51">
        <v>4446495</v>
      </c>
      <c r="S51">
        <v>0</v>
      </c>
      <c r="T51">
        <v>8363660</v>
      </c>
      <c r="U51">
        <v>836360</v>
      </c>
      <c r="V51">
        <v>14.4237333333</v>
      </c>
      <c r="W51">
        <v>13.908899999999999</v>
      </c>
      <c r="X51">
        <v>206.79519999999999</v>
      </c>
      <c r="Z51">
        <v>5913.01</v>
      </c>
      <c r="AB51">
        <v>5933.62</v>
      </c>
      <c r="AD51">
        <v>5926.19</v>
      </c>
      <c r="AF51" t="s">
        <v>182</v>
      </c>
      <c r="AG51" t="s">
        <v>185</v>
      </c>
      <c r="AI51" t="s">
        <v>186</v>
      </c>
      <c r="AJ51" t="s">
        <v>335</v>
      </c>
      <c r="AK51" t="s">
        <v>188</v>
      </c>
    </row>
    <row r="52" spans="1:37" x14ac:dyDescent="0.3">
      <c r="A52">
        <v>8001</v>
      </c>
      <c r="B52" s="207">
        <v>46121</v>
      </c>
      <c r="C52" t="s">
        <v>182</v>
      </c>
      <c r="D52" t="s">
        <v>336</v>
      </c>
      <c r="E52" t="s">
        <v>337</v>
      </c>
      <c r="F52" s="207">
        <v>51480</v>
      </c>
      <c r="G52">
        <v>2.06</v>
      </c>
      <c r="H52">
        <v>412500</v>
      </c>
      <c r="I52">
        <v>136967859</v>
      </c>
      <c r="J52">
        <v>3.694</v>
      </c>
      <c r="K52">
        <v>5872</v>
      </c>
      <c r="L52">
        <v>242220000</v>
      </c>
      <c r="M52">
        <v>-9894804</v>
      </c>
      <c r="N52">
        <v>115146945</v>
      </c>
      <c r="O52">
        <v>2304804</v>
      </c>
      <c r="P52">
        <v>83557497</v>
      </c>
      <c r="Q52">
        <v>29284644</v>
      </c>
      <c r="S52">
        <v>0</v>
      </c>
      <c r="T52">
        <v>12020710</v>
      </c>
      <c r="U52">
        <v>1202060</v>
      </c>
      <c r="V52">
        <v>14.6730666666</v>
      </c>
      <c r="W52">
        <v>14.1493</v>
      </c>
      <c r="X52">
        <v>213.77986666659999</v>
      </c>
      <c r="Z52">
        <v>5863.79</v>
      </c>
      <c r="AB52">
        <v>5879.58</v>
      </c>
      <c r="AD52">
        <v>5873.76</v>
      </c>
      <c r="AF52" t="s">
        <v>182</v>
      </c>
      <c r="AG52" t="s">
        <v>185</v>
      </c>
      <c r="AI52" t="s">
        <v>186</v>
      </c>
      <c r="AJ52" t="s">
        <v>338</v>
      </c>
      <c r="AK52" t="s">
        <v>188</v>
      </c>
    </row>
    <row r="53" spans="1:37" x14ac:dyDescent="0.3">
      <c r="A53">
        <v>8001</v>
      </c>
      <c r="B53" s="207">
        <v>46121</v>
      </c>
      <c r="C53" t="s">
        <v>182</v>
      </c>
      <c r="D53" t="s">
        <v>339</v>
      </c>
      <c r="E53" t="s">
        <v>340</v>
      </c>
      <c r="F53" s="207">
        <v>51570</v>
      </c>
      <c r="G53">
        <v>1.58</v>
      </c>
      <c r="H53">
        <v>400000</v>
      </c>
      <c r="I53">
        <v>177847234</v>
      </c>
      <c r="J53">
        <v>3.698</v>
      </c>
      <c r="K53">
        <v>5817</v>
      </c>
      <c r="L53">
        <v>232680000</v>
      </c>
      <c r="M53">
        <v>-9354192</v>
      </c>
      <c r="N53">
        <v>64186958</v>
      </c>
      <c r="O53">
        <v>1714192</v>
      </c>
      <c r="P53">
        <v>58026271</v>
      </c>
      <c r="Q53">
        <v>4446495</v>
      </c>
      <c r="S53">
        <v>0</v>
      </c>
      <c r="T53">
        <v>8363660</v>
      </c>
      <c r="U53">
        <v>836360</v>
      </c>
      <c r="V53">
        <v>14.9196333333</v>
      </c>
      <c r="W53">
        <v>14.3849</v>
      </c>
      <c r="X53">
        <v>220.77396666659999</v>
      </c>
      <c r="Z53">
        <v>5807.8</v>
      </c>
      <c r="AB53">
        <v>5826.21</v>
      </c>
      <c r="AD53">
        <v>5818.67</v>
      </c>
      <c r="AF53" t="s">
        <v>182</v>
      </c>
      <c r="AG53" t="s">
        <v>185</v>
      </c>
      <c r="AI53" t="s">
        <v>186</v>
      </c>
      <c r="AJ53" t="s">
        <v>341</v>
      </c>
      <c r="AK53" t="s">
        <v>188</v>
      </c>
    </row>
    <row r="54" spans="1:37" x14ac:dyDescent="0.3">
      <c r="A54">
        <v>8001</v>
      </c>
      <c r="B54" s="207">
        <v>46121</v>
      </c>
      <c r="C54" t="s">
        <v>182</v>
      </c>
      <c r="D54" t="s">
        <v>342</v>
      </c>
      <c r="E54" t="s">
        <v>343</v>
      </c>
      <c r="F54" s="207">
        <v>51662</v>
      </c>
      <c r="G54">
        <v>2.0499999999999998</v>
      </c>
      <c r="H54">
        <v>412500</v>
      </c>
      <c r="I54">
        <v>133679385</v>
      </c>
      <c r="J54">
        <v>3.6960000000000002</v>
      </c>
      <c r="K54">
        <v>5765</v>
      </c>
      <c r="L54">
        <v>237806250</v>
      </c>
      <c r="M54">
        <v>-10461114</v>
      </c>
      <c r="N54">
        <v>114587979</v>
      </c>
      <c r="O54">
        <v>2293614</v>
      </c>
      <c r="P54">
        <v>83151881</v>
      </c>
      <c r="Q54">
        <v>29142484</v>
      </c>
      <c r="S54">
        <v>0</v>
      </c>
      <c r="T54">
        <v>11962360</v>
      </c>
      <c r="U54">
        <v>1196220</v>
      </c>
      <c r="V54">
        <v>15.1717</v>
      </c>
      <c r="W54">
        <v>14.6289666666</v>
      </c>
      <c r="X54">
        <v>228.0695666666</v>
      </c>
      <c r="Z54">
        <v>5757.84</v>
      </c>
      <c r="AB54">
        <v>5773.03</v>
      </c>
      <c r="AD54">
        <v>5766.27</v>
      </c>
      <c r="AF54" t="s">
        <v>182</v>
      </c>
      <c r="AG54" t="s">
        <v>185</v>
      </c>
      <c r="AI54" t="s">
        <v>186</v>
      </c>
      <c r="AJ54" t="s">
        <v>344</v>
      </c>
      <c r="AK54" t="s">
        <v>188</v>
      </c>
    </row>
    <row r="55" spans="1:37" x14ac:dyDescent="0.3">
      <c r="A55">
        <v>8001</v>
      </c>
      <c r="B55" s="207">
        <v>46121</v>
      </c>
      <c r="C55" t="s">
        <v>182</v>
      </c>
      <c r="D55" t="s">
        <v>345</v>
      </c>
      <c r="E55" t="s">
        <v>346</v>
      </c>
      <c r="F55" s="207">
        <v>51754</v>
      </c>
      <c r="G55">
        <v>1.57</v>
      </c>
      <c r="H55">
        <v>400000</v>
      </c>
      <c r="I55">
        <v>174562632</v>
      </c>
      <c r="J55">
        <v>3.698</v>
      </c>
      <c r="K55">
        <v>5711</v>
      </c>
      <c r="L55">
        <v>228440000</v>
      </c>
      <c r="M55">
        <v>-9903344</v>
      </c>
      <c r="N55">
        <v>63780712</v>
      </c>
      <c r="O55">
        <v>1703344</v>
      </c>
      <c r="P55">
        <v>57659016</v>
      </c>
      <c r="Q55">
        <v>4418352</v>
      </c>
      <c r="S55">
        <v>0</v>
      </c>
      <c r="T55">
        <v>8310720</v>
      </c>
      <c r="U55">
        <v>831060</v>
      </c>
      <c r="V55">
        <v>15.4237333333</v>
      </c>
      <c r="W55">
        <v>14.872999999999999</v>
      </c>
      <c r="X55">
        <v>235.47243333329999</v>
      </c>
      <c r="Z55">
        <v>5704.88</v>
      </c>
      <c r="AB55">
        <v>5720.18</v>
      </c>
      <c r="AD55">
        <v>5709.13</v>
      </c>
      <c r="AF55" t="s">
        <v>182</v>
      </c>
      <c r="AG55" t="s">
        <v>185</v>
      </c>
      <c r="AI55" t="s">
        <v>186</v>
      </c>
      <c r="AJ55" t="s">
        <v>347</v>
      </c>
      <c r="AK55" t="s">
        <v>188</v>
      </c>
    </row>
    <row r="56" spans="1:37" x14ac:dyDescent="0.3">
      <c r="A56">
        <v>8001</v>
      </c>
      <c r="B56" s="207">
        <v>46121</v>
      </c>
      <c r="C56" t="s">
        <v>182</v>
      </c>
      <c r="D56" t="s">
        <v>348</v>
      </c>
      <c r="E56" t="s">
        <v>349</v>
      </c>
      <c r="F56" s="207">
        <v>51845</v>
      </c>
      <c r="G56">
        <v>2.0299999999999998</v>
      </c>
      <c r="H56">
        <v>412500</v>
      </c>
      <c r="I56">
        <v>130814940</v>
      </c>
      <c r="J56">
        <v>3.6970000000000001</v>
      </c>
      <c r="K56">
        <v>5660</v>
      </c>
      <c r="L56">
        <v>233475000</v>
      </c>
      <c r="M56">
        <v>-10809987</v>
      </c>
      <c r="N56">
        <v>113470047</v>
      </c>
      <c r="O56">
        <v>2271237</v>
      </c>
      <c r="P56">
        <v>82340643</v>
      </c>
      <c r="Q56">
        <v>28858167</v>
      </c>
      <c r="S56">
        <v>0</v>
      </c>
      <c r="T56">
        <v>11845650</v>
      </c>
      <c r="U56">
        <v>1184550</v>
      </c>
      <c r="V56">
        <v>15.6730666666</v>
      </c>
      <c r="W56">
        <v>15.1132666666</v>
      </c>
      <c r="X56">
        <v>242.91773333329999</v>
      </c>
      <c r="Z56">
        <v>5655.15</v>
      </c>
      <c r="AB56">
        <v>5668.85</v>
      </c>
      <c r="AD56">
        <v>5658.57</v>
      </c>
      <c r="AF56" t="s">
        <v>182</v>
      </c>
      <c r="AG56" t="s">
        <v>185</v>
      </c>
      <c r="AI56" t="s">
        <v>186</v>
      </c>
      <c r="AJ56" t="s">
        <v>350</v>
      </c>
      <c r="AK56" t="s">
        <v>188</v>
      </c>
    </row>
    <row r="57" spans="1:37" x14ac:dyDescent="0.3">
      <c r="A57">
        <v>8001</v>
      </c>
      <c r="B57" s="207">
        <v>46121</v>
      </c>
      <c r="C57" t="s">
        <v>182</v>
      </c>
      <c r="D57" t="s">
        <v>351</v>
      </c>
      <c r="E57" t="s">
        <v>352</v>
      </c>
      <c r="F57" s="207">
        <v>51935</v>
      </c>
      <c r="G57">
        <v>1.56</v>
      </c>
      <c r="H57">
        <v>400000</v>
      </c>
      <c r="I57">
        <v>171078028</v>
      </c>
      <c r="J57">
        <v>3.6970000000000001</v>
      </c>
      <c r="K57">
        <v>5610</v>
      </c>
      <c r="L57">
        <v>224400000</v>
      </c>
      <c r="M57">
        <v>-10052492</v>
      </c>
      <c r="N57">
        <v>63374464</v>
      </c>
      <c r="O57">
        <v>1692492</v>
      </c>
      <c r="P57">
        <v>57291763</v>
      </c>
      <c r="Q57">
        <v>4390209</v>
      </c>
      <c r="S57">
        <v>0</v>
      </c>
      <c r="T57">
        <v>8257780</v>
      </c>
      <c r="U57">
        <v>825770</v>
      </c>
      <c r="V57">
        <v>15.9196333333</v>
      </c>
      <c r="W57">
        <v>15.349333333300001</v>
      </c>
      <c r="X57">
        <v>250.38086666660001</v>
      </c>
      <c r="Z57">
        <v>5607.78</v>
      </c>
      <c r="AB57">
        <v>5618.98</v>
      </c>
      <c r="AD57">
        <v>5605.2</v>
      </c>
      <c r="AF57" t="s">
        <v>182</v>
      </c>
      <c r="AG57" t="s">
        <v>185</v>
      </c>
      <c r="AI57" t="s">
        <v>186</v>
      </c>
      <c r="AJ57" t="s">
        <v>353</v>
      </c>
      <c r="AK57" t="s">
        <v>188</v>
      </c>
    </row>
    <row r="58" spans="1:37" x14ac:dyDescent="0.3">
      <c r="A58">
        <v>8001</v>
      </c>
      <c r="B58" s="207">
        <v>46121</v>
      </c>
      <c r="C58" t="s">
        <v>182</v>
      </c>
      <c r="D58" t="s">
        <v>354</v>
      </c>
      <c r="E58" t="s">
        <v>355</v>
      </c>
      <c r="F58" s="207">
        <v>52027</v>
      </c>
      <c r="G58">
        <v>2.02</v>
      </c>
      <c r="H58">
        <v>412500</v>
      </c>
      <c r="I58">
        <v>127402716</v>
      </c>
      <c r="J58">
        <v>3.6949999999999998</v>
      </c>
      <c r="K58">
        <v>5561</v>
      </c>
      <c r="L58">
        <v>229391250</v>
      </c>
      <c r="M58">
        <v>-10922547</v>
      </c>
      <c r="N58">
        <v>112911081</v>
      </c>
      <c r="O58">
        <v>2260047</v>
      </c>
      <c r="P58">
        <v>81935025</v>
      </c>
      <c r="Q58">
        <v>28716009</v>
      </c>
      <c r="S58">
        <v>0</v>
      </c>
      <c r="T58">
        <v>11787290</v>
      </c>
      <c r="U58">
        <v>1178710</v>
      </c>
      <c r="V58">
        <v>16.171700000000001</v>
      </c>
      <c r="W58">
        <v>15.593466666599999</v>
      </c>
      <c r="X58">
        <v>258.14936666659997</v>
      </c>
      <c r="Z58">
        <v>5559.88</v>
      </c>
      <c r="AB58">
        <v>5568.56</v>
      </c>
      <c r="AD58">
        <v>5554.68</v>
      </c>
      <c r="AF58" t="s">
        <v>182</v>
      </c>
      <c r="AG58" t="s">
        <v>185</v>
      </c>
      <c r="AI58" t="s">
        <v>186</v>
      </c>
      <c r="AJ58" t="s">
        <v>356</v>
      </c>
      <c r="AK58" t="s">
        <v>188</v>
      </c>
    </row>
    <row r="59" spans="1:37" x14ac:dyDescent="0.3">
      <c r="A59">
        <v>8001</v>
      </c>
      <c r="B59" s="207">
        <v>46121</v>
      </c>
      <c r="C59" t="s">
        <v>182</v>
      </c>
      <c r="D59" t="s">
        <v>357</v>
      </c>
      <c r="E59" t="s">
        <v>358</v>
      </c>
      <c r="F59" s="207">
        <v>52119</v>
      </c>
      <c r="G59">
        <v>1.56</v>
      </c>
      <c r="H59">
        <v>400000</v>
      </c>
      <c r="I59">
        <v>167198028</v>
      </c>
      <c r="J59">
        <v>3.6949999999999998</v>
      </c>
      <c r="K59">
        <v>5510</v>
      </c>
      <c r="L59">
        <v>220400000</v>
      </c>
      <c r="M59">
        <v>-10172492</v>
      </c>
      <c r="N59">
        <v>63374464</v>
      </c>
      <c r="O59">
        <v>1692492</v>
      </c>
      <c r="P59">
        <v>57291763</v>
      </c>
      <c r="Q59">
        <v>4390209</v>
      </c>
      <c r="S59">
        <v>0</v>
      </c>
      <c r="T59">
        <v>8257780</v>
      </c>
      <c r="U59">
        <v>825770</v>
      </c>
      <c r="V59">
        <v>16.4237333333</v>
      </c>
      <c r="W59">
        <v>15.837833333300001</v>
      </c>
      <c r="X59">
        <v>266.03449999999998</v>
      </c>
      <c r="Z59">
        <v>5510.61</v>
      </c>
      <c r="AB59">
        <v>5517.6</v>
      </c>
      <c r="AD59">
        <v>5503.63</v>
      </c>
      <c r="AF59" t="s">
        <v>182</v>
      </c>
      <c r="AG59" t="s">
        <v>185</v>
      </c>
      <c r="AI59" t="s">
        <v>186</v>
      </c>
      <c r="AJ59" t="s">
        <v>359</v>
      </c>
      <c r="AK59" t="s">
        <v>188</v>
      </c>
    </row>
    <row r="60" spans="1:37" x14ac:dyDescent="0.3">
      <c r="A60">
        <v>8001</v>
      </c>
      <c r="B60" s="207">
        <v>46121</v>
      </c>
      <c r="C60" t="s">
        <v>182</v>
      </c>
      <c r="D60" t="s">
        <v>360</v>
      </c>
      <c r="E60" t="s">
        <v>361</v>
      </c>
      <c r="F60" s="207">
        <v>52210</v>
      </c>
      <c r="G60">
        <v>2.0099999999999998</v>
      </c>
      <c r="H60">
        <v>412500</v>
      </c>
      <c r="I60">
        <v>123990495</v>
      </c>
      <c r="J60">
        <v>3.698</v>
      </c>
      <c r="K60">
        <v>5457</v>
      </c>
      <c r="L60">
        <v>225101250</v>
      </c>
      <c r="M60">
        <v>-11241360</v>
      </c>
      <c r="N60">
        <v>112352115</v>
      </c>
      <c r="O60">
        <v>2248860</v>
      </c>
      <c r="P60">
        <v>81529404</v>
      </c>
      <c r="Q60">
        <v>28573851</v>
      </c>
      <c r="S60">
        <v>0</v>
      </c>
      <c r="T60">
        <v>11728940</v>
      </c>
      <c r="U60">
        <v>1172880</v>
      </c>
      <c r="V60">
        <v>16.6730666666</v>
      </c>
      <c r="W60">
        <v>16.0774333333</v>
      </c>
      <c r="X60">
        <v>273.91946666659999</v>
      </c>
      <c r="Z60">
        <v>5454.92</v>
      </c>
      <c r="AB60">
        <v>5468.1</v>
      </c>
      <c r="AD60">
        <v>5450.54</v>
      </c>
      <c r="AF60" t="s">
        <v>182</v>
      </c>
      <c r="AG60" t="s">
        <v>185</v>
      </c>
      <c r="AI60" t="s">
        <v>186</v>
      </c>
      <c r="AJ60" t="s">
        <v>362</v>
      </c>
      <c r="AK60" t="s">
        <v>188</v>
      </c>
    </row>
    <row r="61" spans="1:37" x14ac:dyDescent="0.3">
      <c r="A61">
        <v>8001</v>
      </c>
      <c r="B61" s="207">
        <v>46121</v>
      </c>
      <c r="C61" t="s">
        <v>182</v>
      </c>
      <c r="D61" t="s">
        <v>363</v>
      </c>
      <c r="E61" t="s">
        <v>364</v>
      </c>
      <c r="F61" s="207">
        <v>52300</v>
      </c>
      <c r="G61">
        <v>1.55</v>
      </c>
      <c r="H61">
        <v>400000</v>
      </c>
      <c r="I61">
        <v>163913426</v>
      </c>
      <c r="J61">
        <v>3.6960000000000002</v>
      </c>
      <c r="K61">
        <v>5411</v>
      </c>
      <c r="L61">
        <v>216440000</v>
      </c>
      <c r="M61">
        <v>-10441644</v>
      </c>
      <c r="N61">
        <v>62968218</v>
      </c>
      <c r="O61">
        <v>1681644</v>
      </c>
      <c r="P61">
        <v>56924507</v>
      </c>
      <c r="Q61">
        <v>4362067</v>
      </c>
      <c r="S61">
        <v>0</v>
      </c>
      <c r="T61">
        <v>8204850</v>
      </c>
      <c r="U61">
        <v>820470</v>
      </c>
      <c r="V61">
        <v>16.919633333299998</v>
      </c>
      <c r="W61">
        <v>16.3139</v>
      </c>
      <c r="X61">
        <v>281.85199999999998</v>
      </c>
      <c r="Z61">
        <v>5407.64</v>
      </c>
      <c r="AB61">
        <v>5420.01</v>
      </c>
      <c r="AD61">
        <v>5407.64</v>
      </c>
      <c r="AF61" t="s">
        <v>182</v>
      </c>
      <c r="AG61" t="s">
        <v>185</v>
      </c>
      <c r="AI61" t="s">
        <v>186</v>
      </c>
      <c r="AJ61" t="s">
        <v>365</v>
      </c>
      <c r="AK61" t="s">
        <v>188</v>
      </c>
    </row>
    <row r="62" spans="1:37" x14ac:dyDescent="0.3">
      <c r="A62">
        <v>8001</v>
      </c>
      <c r="B62" s="207">
        <v>46121</v>
      </c>
      <c r="C62" t="s">
        <v>182</v>
      </c>
      <c r="D62" t="s">
        <v>366</v>
      </c>
      <c r="E62" t="s">
        <v>367</v>
      </c>
      <c r="F62" s="207">
        <v>52392</v>
      </c>
      <c r="G62">
        <v>1.97</v>
      </c>
      <c r="H62">
        <v>412500</v>
      </c>
      <c r="I62">
        <v>140346855</v>
      </c>
      <c r="J62">
        <v>3.6960000000000002</v>
      </c>
      <c r="K62">
        <v>5361</v>
      </c>
      <c r="L62">
        <v>221141250</v>
      </c>
      <c r="M62">
        <v>-11444106</v>
      </c>
      <c r="N62">
        <v>92238501</v>
      </c>
      <c r="O62">
        <v>2204106</v>
      </c>
      <c r="P62">
        <v>79902488</v>
      </c>
      <c r="Q62">
        <v>10131907</v>
      </c>
      <c r="S62">
        <v>0</v>
      </c>
      <c r="T62">
        <v>11494900</v>
      </c>
      <c r="U62">
        <v>1149470</v>
      </c>
      <c r="V62">
        <v>17.171700000000001</v>
      </c>
      <c r="W62">
        <v>16.5576333333</v>
      </c>
      <c r="X62">
        <v>290.07920000000001</v>
      </c>
      <c r="Z62">
        <v>5358.11</v>
      </c>
      <c r="AB62">
        <v>5369.66</v>
      </c>
      <c r="AD62">
        <v>5358.11</v>
      </c>
      <c r="AF62" t="s">
        <v>182</v>
      </c>
      <c r="AG62" t="s">
        <v>185</v>
      </c>
      <c r="AI62" t="s">
        <v>186</v>
      </c>
      <c r="AJ62" t="s">
        <v>368</v>
      </c>
      <c r="AK62" t="s">
        <v>188</v>
      </c>
    </row>
    <row r="63" spans="1:37" x14ac:dyDescent="0.3">
      <c r="A63">
        <v>8001</v>
      </c>
      <c r="B63" s="207">
        <v>46121</v>
      </c>
      <c r="C63" t="s">
        <v>182</v>
      </c>
      <c r="D63" t="s">
        <v>369</v>
      </c>
      <c r="E63" t="s">
        <v>370</v>
      </c>
      <c r="F63" s="207">
        <v>52484</v>
      </c>
      <c r="G63">
        <v>1.54</v>
      </c>
      <c r="H63">
        <v>400000</v>
      </c>
      <c r="I63">
        <v>160548822</v>
      </c>
      <c r="J63">
        <v>3.698</v>
      </c>
      <c r="K63">
        <v>5311</v>
      </c>
      <c r="L63">
        <v>212440000</v>
      </c>
      <c r="M63">
        <v>-10670794</v>
      </c>
      <c r="N63">
        <v>62561972</v>
      </c>
      <c r="O63">
        <v>1670794</v>
      </c>
      <c r="P63">
        <v>56557253</v>
      </c>
      <c r="Q63">
        <v>4333925</v>
      </c>
      <c r="S63">
        <v>0</v>
      </c>
      <c r="T63">
        <v>8151920</v>
      </c>
      <c r="U63">
        <v>815180</v>
      </c>
      <c r="V63">
        <v>17.4237333333</v>
      </c>
      <c r="W63">
        <v>16.801666666599999</v>
      </c>
      <c r="X63">
        <v>298.42230000000001</v>
      </c>
      <c r="Z63">
        <v>5303.54</v>
      </c>
      <c r="AB63">
        <v>5320.5</v>
      </c>
      <c r="AD63">
        <v>5309.78</v>
      </c>
      <c r="AF63" t="s">
        <v>182</v>
      </c>
      <c r="AG63" t="s">
        <v>185</v>
      </c>
      <c r="AI63" t="s">
        <v>186</v>
      </c>
      <c r="AJ63" t="s">
        <v>371</v>
      </c>
      <c r="AK63" t="s">
        <v>188</v>
      </c>
    </row>
    <row r="64" spans="1:37" x14ac:dyDescent="0.3">
      <c r="A64">
        <v>8001</v>
      </c>
      <c r="B64" s="207">
        <v>46121</v>
      </c>
      <c r="C64" t="s">
        <v>182</v>
      </c>
      <c r="D64" t="s">
        <v>372</v>
      </c>
      <c r="E64" t="s">
        <v>373</v>
      </c>
      <c r="F64" s="207">
        <v>52575</v>
      </c>
      <c r="G64">
        <v>1.95</v>
      </c>
      <c r="H64">
        <v>412500</v>
      </c>
      <c r="I64">
        <v>137672160</v>
      </c>
      <c r="J64">
        <v>3.69</v>
      </c>
      <c r="K64">
        <v>5270</v>
      </c>
      <c r="L64">
        <v>217387500</v>
      </c>
      <c r="M64">
        <v>-11586729</v>
      </c>
      <c r="N64">
        <v>91302069</v>
      </c>
      <c r="O64">
        <v>2181729</v>
      </c>
      <c r="P64">
        <v>79091294</v>
      </c>
      <c r="Q64">
        <v>10029046</v>
      </c>
      <c r="S64">
        <v>0</v>
      </c>
      <c r="T64">
        <v>11378200</v>
      </c>
      <c r="U64">
        <v>1137810</v>
      </c>
      <c r="V64">
        <v>17.6730666666</v>
      </c>
      <c r="W64">
        <v>17.043066666600001</v>
      </c>
      <c r="X64">
        <v>306.83466666660001</v>
      </c>
      <c r="Z64">
        <v>5267.37</v>
      </c>
      <c r="AB64">
        <v>5271.86</v>
      </c>
      <c r="AD64">
        <v>5271.86</v>
      </c>
      <c r="AF64" t="s">
        <v>182</v>
      </c>
      <c r="AG64" t="s">
        <v>185</v>
      </c>
      <c r="AI64" t="s">
        <v>186</v>
      </c>
      <c r="AJ64" t="s">
        <v>374</v>
      </c>
      <c r="AK64" t="s">
        <v>188</v>
      </c>
    </row>
    <row r="65" spans="1:37" x14ac:dyDescent="0.3">
      <c r="A65">
        <v>8001</v>
      </c>
      <c r="B65" s="207">
        <v>46121</v>
      </c>
      <c r="C65" t="s">
        <v>182</v>
      </c>
      <c r="D65" t="s">
        <v>375</v>
      </c>
      <c r="E65" t="s">
        <v>376</v>
      </c>
      <c r="F65" s="207">
        <v>52666</v>
      </c>
      <c r="G65">
        <v>1.54</v>
      </c>
      <c r="H65">
        <v>400000</v>
      </c>
      <c r="I65">
        <v>157148822</v>
      </c>
      <c r="J65">
        <v>3.6920000000000002</v>
      </c>
      <c r="K65">
        <v>5222</v>
      </c>
      <c r="L65">
        <v>208880000</v>
      </c>
      <c r="M65">
        <v>-10830794</v>
      </c>
      <c r="N65">
        <v>62561972</v>
      </c>
      <c r="O65">
        <v>1670794</v>
      </c>
      <c r="P65">
        <v>56557253</v>
      </c>
      <c r="Q65">
        <v>4333925</v>
      </c>
      <c r="S65">
        <v>0</v>
      </c>
      <c r="T65">
        <v>8151920</v>
      </c>
      <c r="U65">
        <v>815180</v>
      </c>
      <c r="V65">
        <v>17.920566666599999</v>
      </c>
      <c r="W65">
        <v>17.278966666599999</v>
      </c>
      <c r="X65">
        <v>315.20306666660002</v>
      </c>
      <c r="Z65">
        <v>5222.76</v>
      </c>
      <c r="AB65">
        <v>5224.57</v>
      </c>
      <c r="AD65">
        <v>5220.96</v>
      </c>
      <c r="AF65" t="s">
        <v>182</v>
      </c>
      <c r="AG65" t="s">
        <v>185</v>
      </c>
      <c r="AI65" t="s">
        <v>186</v>
      </c>
      <c r="AJ65" t="s">
        <v>377</v>
      </c>
      <c r="AK65" t="s">
        <v>188</v>
      </c>
    </row>
    <row r="66" spans="1:37" x14ac:dyDescent="0.3">
      <c r="A66">
        <v>8001</v>
      </c>
      <c r="B66" s="207">
        <v>46121</v>
      </c>
      <c r="C66" t="s">
        <v>182</v>
      </c>
      <c r="D66" t="s">
        <v>378</v>
      </c>
      <c r="E66" t="s">
        <v>379</v>
      </c>
      <c r="F66" s="207">
        <v>52758</v>
      </c>
      <c r="G66">
        <v>1.94</v>
      </c>
      <c r="H66">
        <v>412500</v>
      </c>
      <c r="I66">
        <v>134416686</v>
      </c>
      <c r="J66">
        <v>3.69</v>
      </c>
      <c r="K66">
        <v>5176</v>
      </c>
      <c r="L66">
        <v>213510000</v>
      </c>
      <c r="M66">
        <v>-11740542</v>
      </c>
      <c r="N66">
        <v>90833856</v>
      </c>
      <c r="O66">
        <v>2170542</v>
      </c>
      <c r="P66">
        <v>78685699</v>
      </c>
      <c r="Q66">
        <v>9977615</v>
      </c>
      <c r="S66">
        <v>0</v>
      </c>
      <c r="T66">
        <v>11319850</v>
      </c>
      <c r="U66">
        <v>1131970</v>
      </c>
      <c r="V66">
        <v>18.172599999999999</v>
      </c>
      <c r="W66">
        <v>17.523099999999999</v>
      </c>
      <c r="X66">
        <v>323.91356666659999</v>
      </c>
      <c r="Z66">
        <v>5175.04</v>
      </c>
      <c r="AB66">
        <v>5175.95</v>
      </c>
      <c r="AD66">
        <v>5178.67</v>
      </c>
      <c r="AF66" t="s">
        <v>182</v>
      </c>
      <c r="AG66" t="s">
        <v>185</v>
      </c>
      <c r="AI66" t="s">
        <v>186</v>
      </c>
      <c r="AJ66" t="s">
        <v>380</v>
      </c>
      <c r="AK66" t="s">
        <v>188</v>
      </c>
    </row>
    <row r="67" spans="1:37" x14ac:dyDescent="0.3">
      <c r="A67">
        <v>8001</v>
      </c>
      <c r="B67" s="207">
        <v>46121</v>
      </c>
      <c r="C67" t="s">
        <v>182</v>
      </c>
      <c r="D67" t="s">
        <v>381</v>
      </c>
      <c r="E67" t="s">
        <v>382</v>
      </c>
      <c r="F67" s="207">
        <v>52850</v>
      </c>
      <c r="G67">
        <v>1.53</v>
      </c>
      <c r="H67">
        <v>400000</v>
      </c>
      <c r="I67">
        <v>153864220</v>
      </c>
      <c r="J67">
        <v>3.6909999999999998</v>
      </c>
      <c r="K67">
        <v>5128</v>
      </c>
      <c r="L67">
        <v>205120000</v>
      </c>
      <c r="M67">
        <v>-10899946</v>
      </c>
      <c r="N67">
        <v>62155726</v>
      </c>
      <c r="O67">
        <v>1659946</v>
      </c>
      <c r="P67">
        <v>56189997</v>
      </c>
      <c r="Q67">
        <v>4305783</v>
      </c>
      <c r="S67">
        <v>0</v>
      </c>
      <c r="T67">
        <v>8098980</v>
      </c>
      <c r="U67">
        <v>809890</v>
      </c>
      <c r="V67">
        <v>18.4246666666</v>
      </c>
      <c r="W67">
        <v>17.767233333299998</v>
      </c>
      <c r="X67">
        <v>332.73206666660002</v>
      </c>
      <c r="Z67">
        <v>5128.53</v>
      </c>
      <c r="AB67">
        <v>5128.53</v>
      </c>
      <c r="AD67">
        <v>5127.6099999999997</v>
      </c>
      <c r="AF67" t="s">
        <v>182</v>
      </c>
      <c r="AG67" t="s">
        <v>185</v>
      </c>
      <c r="AI67" t="s">
        <v>186</v>
      </c>
      <c r="AJ67" t="s">
        <v>383</v>
      </c>
      <c r="AK67" t="s">
        <v>188</v>
      </c>
    </row>
    <row r="68" spans="1:37" x14ac:dyDescent="0.3">
      <c r="A68">
        <v>8001</v>
      </c>
      <c r="B68" s="207">
        <v>46121</v>
      </c>
      <c r="C68" t="s">
        <v>182</v>
      </c>
      <c r="D68" t="s">
        <v>384</v>
      </c>
      <c r="E68" t="s">
        <v>385</v>
      </c>
      <c r="F68" s="207">
        <v>52941</v>
      </c>
      <c r="G68">
        <v>1.93</v>
      </c>
      <c r="H68">
        <v>412500</v>
      </c>
      <c r="I68">
        <v>131161215</v>
      </c>
      <c r="J68">
        <v>3.6920000000000002</v>
      </c>
      <c r="K68">
        <v>5081</v>
      </c>
      <c r="L68">
        <v>209591250</v>
      </c>
      <c r="M68">
        <v>-11935605</v>
      </c>
      <c r="N68">
        <v>90365640</v>
      </c>
      <c r="O68">
        <v>2159355</v>
      </c>
      <c r="P68">
        <v>78280102</v>
      </c>
      <c r="Q68">
        <v>9926183</v>
      </c>
      <c r="S68">
        <v>0</v>
      </c>
      <c r="T68">
        <v>11261500</v>
      </c>
      <c r="U68">
        <v>1126130</v>
      </c>
      <c r="V68">
        <v>18.673966666599998</v>
      </c>
      <c r="W68">
        <v>18.0072333333</v>
      </c>
      <c r="X68">
        <v>341.55900000000003</v>
      </c>
      <c r="Z68">
        <v>5081.55</v>
      </c>
      <c r="AB68">
        <v>5081.55</v>
      </c>
      <c r="AD68">
        <v>5081.55</v>
      </c>
      <c r="AF68" t="s">
        <v>182</v>
      </c>
      <c r="AG68" t="s">
        <v>185</v>
      </c>
      <c r="AI68" t="s">
        <v>186</v>
      </c>
      <c r="AJ68" t="s">
        <v>386</v>
      </c>
      <c r="AK68" t="s">
        <v>188</v>
      </c>
    </row>
    <row r="69" spans="1:37" x14ac:dyDescent="0.3">
      <c r="A69">
        <v>8001</v>
      </c>
      <c r="B69" s="207">
        <v>46121</v>
      </c>
      <c r="C69" t="s">
        <v>182</v>
      </c>
      <c r="D69" t="s">
        <v>387</v>
      </c>
      <c r="E69" t="s">
        <v>388</v>
      </c>
      <c r="F69" s="207">
        <v>53031</v>
      </c>
      <c r="G69">
        <v>1.53</v>
      </c>
      <c r="H69">
        <v>400000</v>
      </c>
      <c r="I69">
        <v>150304220</v>
      </c>
      <c r="J69">
        <v>3.6930000000000001</v>
      </c>
      <c r="K69">
        <v>5035</v>
      </c>
      <c r="L69">
        <v>201400000</v>
      </c>
      <c r="M69">
        <v>-11059946</v>
      </c>
      <c r="N69">
        <v>62155726</v>
      </c>
      <c r="O69">
        <v>1659946</v>
      </c>
      <c r="P69">
        <v>56189997</v>
      </c>
      <c r="Q69">
        <v>4305783</v>
      </c>
      <c r="S69">
        <v>0</v>
      </c>
      <c r="T69">
        <v>8098980</v>
      </c>
      <c r="U69">
        <v>809890</v>
      </c>
      <c r="V69">
        <v>18.920566666599999</v>
      </c>
      <c r="W69">
        <v>18.243066666600001</v>
      </c>
      <c r="X69">
        <v>350.37946666660002</v>
      </c>
      <c r="Z69">
        <v>5036.8</v>
      </c>
      <c r="AB69">
        <v>5035.8900000000003</v>
      </c>
      <c r="AD69">
        <v>5033.13</v>
      </c>
      <c r="AF69" t="s">
        <v>182</v>
      </c>
      <c r="AG69" t="s">
        <v>185</v>
      </c>
      <c r="AI69" t="s">
        <v>186</v>
      </c>
      <c r="AJ69" t="s">
        <v>389</v>
      </c>
      <c r="AK69" t="s">
        <v>188</v>
      </c>
    </row>
    <row r="70" spans="1:37" x14ac:dyDescent="0.3">
      <c r="A70">
        <v>8001</v>
      </c>
      <c r="B70" s="207">
        <v>46121</v>
      </c>
      <c r="C70" t="s">
        <v>182</v>
      </c>
      <c r="D70" t="s">
        <v>390</v>
      </c>
      <c r="E70" t="s">
        <v>391</v>
      </c>
      <c r="F70" s="207">
        <v>53215</v>
      </c>
      <c r="G70">
        <v>1.52</v>
      </c>
      <c r="H70">
        <v>400000</v>
      </c>
      <c r="I70">
        <v>147299618</v>
      </c>
      <c r="J70">
        <v>3.6920000000000002</v>
      </c>
      <c r="K70">
        <v>4945</v>
      </c>
      <c r="L70">
        <v>197800000</v>
      </c>
      <c r="M70">
        <v>-11249096</v>
      </c>
      <c r="N70">
        <v>61749478</v>
      </c>
      <c r="O70">
        <v>1649096</v>
      </c>
      <c r="P70">
        <v>55822742</v>
      </c>
      <c r="Q70">
        <v>4277640</v>
      </c>
      <c r="S70">
        <v>0</v>
      </c>
      <c r="T70">
        <v>8046050</v>
      </c>
      <c r="U70">
        <v>804600</v>
      </c>
      <c r="V70">
        <v>19.4246666666</v>
      </c>
      <c r="W70">
        <v>18.731466666599999</v>
      </c>
      <c r="X70">
        <v>368.85693333329999</v>
      </c>
      <c r="Z70">
        <v>4949.68</v>
      </c>
      <c r="AB70">
        <v>4943.1899999999996</v>
      </c>
      <c r="AD70">
        <v>4942.26</v>
      </c>
      <c r="AF70" t="s">
        <v>182</v>
      </c>
      <c r="AG70" t="s">
        <v>185</v>
      </c>
      <c r="AI70" t="s">
        <v>186</v>
      </c>
      <c r="AJ70" t="s">
        <v>392</v>
      </c>
      <c r="AK70" t="s">
        <v>188</v>
      </c>
    </row>
    <row r="71" spans="1:37" x14ac:dyDescent="0.3">
      <c r="A71">
        <v>8001</v>
      </c>
      <c r="B71" s="207">
        <v>46121</v>
      </c>
      <c r="C71" t="s">
        <v>182</v>
      </c>
      <c r="D71" t="s">
        <v>393</v>
      </c>
      <c r="E71" t="s">
        <v>394</v>
      </c>
      <c r="F71" s="207">
        <v>53396</v>
      </c>
      <c r="G71">
        <v>1.51</v>
      </c>
      <c r="H71">
        <v>400000</v>
      </c>
      <c r="I71">
        <v>144175014</v>
      </c>
      <c r="J71">
        <v>3.6970000000000001</v>
      </c>
      <c r="K71">
        <v>4852</v>
      </c>
      <c r="L71">
        <v>194080000</v>
      </c>
      <c r="M71">
        <v>-11438246</v>
      </c>
      <c r="N71">
        <v>61343232</v>
      </c>
      <c r="O71">
        <v>1638246</v>
      </c>
      <c r="P71">
        <v>55455489</v>
      </c>
      <c r="Q71">
        <v>4249497</v>
      </c>
      <c r="S71">
        <v>0</v>
      </c>
      <c r="T71">
        <v>7993110</v>
      </c>
      <c r="U71">
        <v>799310</v>
      </c>
      <c r="V71">
        <v>19.920566666599999</v>
      </c>
      <c r="W71">
        <v>19.206700000000001</v>
      </c>
      <c r="X71">
        <v>387.39613333329999</v>
      </c>
      <c r="Z71">
        <v>4850.9399999999996</v>
      </c>
      <c r="AB71">
        <v>4853.74</v>
      </c>
      <c r="AD71">
        <v>4851.87</v>
      </c>
      <c r="AF71" t="s">
        <v>182</v>
      </c>
      <c r="AG71" t="s">
        <v>185</v>
      </c>
      <c r="AI71" t="s">
        <v>186</v>
      </c>
      <c r="AJ71" t="s">
        <v>395</v>
      </c>
      <c r="AK71" t="s">
        <v>188</v>
      </c>
    </row>
    <row r="72" spans="1:37" x14ac:dyDescent="0.3">
      <c r="A72">
        <v>8001</v>
      </c>
      <c r="B72" s="207">
        <v>46121</v>
      </c>
      <c r="C72" t="s">
        <v>182</v>
      </c>
      <c r="D72" t="s">
        <v>396</v>
      </c>
      <c r="E72" t="s">
        <v>397</v>
      </c>
      <c r="F72" s="207">
        <v>46183</v>
      </c>
      <c r="G72">
        <v>3.62</v>
      </c>
      <c r="H72">
        <v>6000000</v>
      </c>
      <c r="I72">
        <v>5380834249</v>
      </c>
      <c r="J72">
        <v>2.5979999999999999</v>
      </c>
      <c r="K72">
        <v>9956</v>
      </c>
      <c r="L72">
        <v>5973600000</v>
      </c>
      <c r="M72">
        <v>-517535</v>
      </c>
      <c r="N72">
        <v>593283286</v>
      </c>
      <c r="O72">
        <v>297534</v>
      </c>
      <c r="P72">
        <v>0</v>
      </c>
      <c r="Q72">
        <v>592985752</v>
      </c>
      <c r="S72">
        <v>0</v>
      </c>
      <c r="T72">
        <v>41650</v>
      </c>
      <c r="U72">
        <v>4160</v>
      </c>
      <c r="V72">
        <v>0.1680333333</v>
      </c>
      <c r="W72">
        <v>0.16493333330000001</v>
      </c>
      <c r="X72">
        <v>0.1431333333</v>
      </c>
      <c r="Z72">
        <v>9956.0499999999993</v>
      </c>
      <c r="AB72">
        <v>9957.24</v>
      </c>
      <c r="AD72">
        <v>9957</v>
      </c>
      <c r="AF72" t="s">
        <v>182</v>
      </c>
      <c r="AG72" t="s">
        <v>185</v>
      </c>
      <c r="AI72" t="s">
        <v>186</v>
      </c>
      <c r="AJ72" t="s">
        <v>398</v>
      </c>
      <c r="AK72" t="s">
        <v>188</v>
      </c>
    </row>
    <row r="73" spans="1:37" x14ac:dyDescent="0.3">
      <c r="A73">
        <v>8001</v>
      </c>
      <c r="B73" s="207">
        <v>46121</v>
      </c>
      <c r="C73" t="s">
        <v>182</v>
      </c>
      <c r="D73" t="s">
        <v>399</v>
      </c>
      <c r="E73" t="s">
        <v>400</v>
      </c>
      <c r="F73" s="207">
        <v>46275</v>
      </c>
      <c r="G73">
        <v>3.29</v>
      </c>
      <c r="H73">
        <v>3000000</v>
      </c>
      <c r="I73">
        <v>2840067672</v>
      </c>
      <c r="J73">
        <v>2.6520000000000001</v>
      </c>
      <c r="K73">
        <v>9890</v>
      </c>
      <c r="L73">
        <v>2967000000</v>
      </c>
      <c r="M73">
        <v>109589</v>
      </c>
      <c r="N73">
        <v>126822739</v>
      </c>
      <c r="O73">
        <v>270411</v>
      </c>
      <c r="P73">
        <v>0</v>
      </c>
      <c r="Q73">
        <v>126552328</v>
      </c>
      <c r="S73">
        <v>0</v>
      </c>
      <c r="T73">
        <v>37850</v>
      </c>
      <c r="U73">
        <v>3780</v>
      </c>
      <c r="V73">
        <v>0.42009999999999997</v>
      </c>
      <c r="W73">
        <v>0.4112666666</v>
      </c>
      <c r="X73">
        <v>0.4924333333</v>
      </c>
      <c r="Z73">
        <v>9888.4500000000007</v>
      </c>
      <c r="AB73">
        <v>9891.81</v>
      </c>
      <c r="AD73">
        <v>9889.85</v>
      </c>
      <c r="AF73" t="s">
        <v>182</v>
      </c>
      <c r="AG73" t="s">
        <v>185</v>
      </c>
      <c r="AI73" t="s">
        <v>186</v>
      </c>
      <c r="AJ73" t="s">
        <v>401</v>
      </c>
      <c r="AK73" t="s">
        <v>188</v>
      </c>
    </row>
    <row r="74" spans="1:37" x14ac:dyDescent="0.3">
      <c r="A74">
        <v>8001</v>
      </c>
      <c r="B74" s="207">
        <v>46121</v>
      </c>
      <c r="C74" t="s">
        <v>182</v>
      </c>
      <c r="D74" t="s">
        <v>402</v>
      </c>
      <c r="E74" t="s">
        <v>403</v>
      </c>
      <c r="F74" s="207">
        <v>46366</v>
      </c>
      <c r="G74">
        <v>3.58</v>
      </c>
      <c r="H74">
        <v>3000000</v>
      </c>
      <c r="I74">
        <v>2562255206</v>
      </c>
      <c r="J74">
        <v>2.758</v>
      </c>
      <c r="K74">
        <v>9818</v>
      </c>
      <c r="L74">
        <v>2945400000</v>
      </c>
      <c r="M74">
        <v>330000</v>
      </c>
      <c r="N74">
        <v>382814794</v>
      </c>
      <c r="O74">
        <v>0</v>
      </c>
      <c r="P74">
        <v>0</v>
      </c>
      <c r="Q74">
        <v>382814794</v>
      </c>
      <c r="S74">
        <v>0</v>
      </c>
      <c r="T74">
        <v>0</v>
      </c>
      <c r="U74">
        <v>0</v>
      </c>
      <c r="V74">
        <v>0.6694</v>
      </c>
      <c r="W74">
        <v>0.65336666659999998</v>
      </c>
      <c r="X74">
        <v>0.99333333329999995</v>
      </c>
      <c r="Z74">
        <v>9816.58</v>
      </c>
      <c r="AB74">
        <v>9821.15</v>
      </c>
      <c r="AD74">
        <v>9819.0300000000007</v>
      </c>
      <c r="AF74" t="s">
        <v>182</v>
      </c>
      <c r="AG74" t="s">
        <v>185</v>
      </c>
      <c r="AI74" t="s">
        <v>186</v>
      </c>
      <c r="AJ74" t="s">
        <v>404</v>
      </c>
      <c r="AK74" t="s">
        <v>188</v>
      </c>
    </row>
    <row r="75" spans="1:37" x14ac:dyDescent="0.3">
      <c r="A75">
        <v>8008</v>
      </c>
      <c r="B75" s="207">
        <v>46121</v>
      </c>
      <c r="C75" t="s">
        <v>182</v>
      </c>
      <c r="D75" t="s">
        <v>405</v>
      </c>
      <c r="E75" t="s">
        <v>406</v>
      </c>
      <c r="F75" s="207">
        <v>46142</v>
      </c>
      <c r="G75">
        <v>1</v>
      </c>
      <c r="H75">
        <v>50</v>
      </c>
      <c r="I75">
        <v>49814</v>
      </c>
      <c r="J75">
        <v>2.581</v>
      </c>
      <c r="K75">
        <v>10495</v>
      </c>
      <c r="L75">
        <v>52475</v>
      </c>
      <c r="M75">
        <v>140</v>
      </c>
      <c r="N75">
        <v>2521</v>
      </c>
      <c r="O75">
        <v>10</v>
      </c>
      <c r="P75">
        <v>0</v>
      </c>
      <c r="Q75">
        <v>2511</v>
      </c>
      <c r="S75">
        <v>0</v>
      </c>
      <c r="T75">
        <v>0</v>
      </c>
      <c r="U75">
        <v>0</v>
      </c>
      <c r="V75">
        <v>5.57E-2</v>
      </c>
      <c r="W75">
        <v>5.4733333299999999E-2</v>
      </c>
      <c r="X75">
        <v>3.9566666600000001E-2</v>
      </c>
      <c r="Z75">
        <v>10495.08</v>
      </c>
      <c r="AB75">
        <v>10495.14</v>
      </c>
      <c r="AD75">
        <v>10495.23</v>
      </c>
      <c r="AF75" t="s">
        <v>182</v>
      </c>
      <c r="AG75" t="s">
        <v>185</v>
      </c>
      <c r="AI75" t="s">
        <v>186</v>
      </c>
      <c r="AJ75" t="s">
        <v>407</v>
      </c>
      <c r="AK75" t="s">
        <v>188</v>
      </c>
    </row>
    <row r="76" spans="1:37" x14ac:dyDescent="0.3">
      <c r="A76">
        <v>8008</v>
      </c>
      <c r="B76" s="207">
        <v>46121</v>
      </c>
      <c r="C76" t="s">
        <v>182</v>
      </c>
      <c r="D76" t="s">
        <v>408</v>
      </c>
      <c r="E76" t="s">
        <v>409</v>
      </c>
      <c r="F76" s="207">
        <v>46843</v>
      </c>
      <c r="G76">
        <v>1.3</v>
      </c>
      <c r="H76">
        <v>5</v>
      </c>
      <c r="I76">
        <v>4819</v>
      </c>
      <c r="J76">
        <v>3.2349999999999999</v>
      </c>
      <c r="K76">
        <v>10017</v>
      </c>
      <c r="L76">
        <v>5008</v>
      </c>
      <c r="M76">
        <v>-10</v>
      </c>
      <c r="N76">
        <v>199</v>
      </c>
      <c r="O76">
        <v>52</v>
      </c>
      <c r="P76">
        <v>0</v>
      </c>
      <c r="Q76">
        <v>147</v>
      </c>
      <c r="S76">
        <v>0</v>
      </c>
      <c r="T76">
        <v>0</v>
      </c>
      <c r="U76">
        <v>0</v>
      </c>
      <c r="V76">
        <v>1.9743999999999999</v>
      </c>
      <c r="W76">
        <v>1.9118999999999999</v>
      </c>
      <c r="X76">
        <v>5.4993666666000003</v>
      </c>
      <c r="Z76">
        <v>10019.459999999999</v>
      </c>
      <c r="AB76">
        <v>10020.99</v>
      </c>
      <c r="AD76">
        <v>10011.799999999999</v>
      </c>
      <c r="AF76" t="s">
        <v>182</v>
      </c>
      <c r="AG76" t="s">
        <v>185</v>
      </c>
      <c r="AI76" t="s">
        <v>186</v>
      </c>
      <c r="AJ76" t="s">
        <v>410</v>
      </c>
      <c r="AK76" t="s">
        <v>188</v>
      </c>
    </row>
    <row r="77" spans="1:37" x14ac:dyDescent="0.3">
      <c r="A77">
        <v>8008</v>
      </c>
      <c r="B77" s="207">
        <v>46121</v>
      </c>
      <c r="C77" t="s">
        <v>182</v>
      </c>
      <c r="D77" t="s">
        <v>411</v>
      </c>
      <c r="E77" t="s">
        <v>412</v>
      </c>
      <c r="F77" s="207">
        <v>47452</v>
      </c>
      <c r="G77">
        <v>1.3</v>
      </c>
      <c r="H77">
        <v>1</v>
      </c>
      <c r="I77">
        <v>931</v>
      </c>
      <c r="J77">
        <v>3.4649999999999999</v>
      </c>
      <c r="K77">
        <v>9421</v>
      </c>
      <c r="L77">
        <v>942</v>
      </c>
      <c r="M77">
        <v>-6</v>
      </c>
      <c r="N77">
        <v>17</v>
      </c>
      <c r="O77">
        <v>9</v>
      </c>
      <c r="P77">
        <v>0</v>
      </c>
      <c r="Q77">
        <v>8</v>
      </c>
      <c r="S77">
        <v>0</v>
      </c>
      <c r="T77">
        <v>0</v>
      </c>
      <c r="U77">
        <v>0</v>
      </c>
      <c r="V77">
        <v>3.6429</v>
      </c>
      <c r="W77">
        <v>3.5225333333000002</v>
      </c>
      <c r="X77">
        <v>15.7419666666</v>
      </c>
      <c r="Z77">
        <v>9423.49</v>
      </c>
      <c r="AB77">
        <v>9424.49</v>
      </c>
      <c r="AD77">
        <v>9416.51</v>
      </c>
      <c r="AF77" t="s">
        <v>182</v>
      </c>
      <c r="AG77" t="s">
        <v>185</v>
      </c>
      <c r="AI77" t="s">
        <v>186</v>
      </c>
      <c r="AJ77" t="s">
        <v>413</v>
      </c>
      <c r="AK77" t="s">
        <v>188</v>
      </c>
    </row>
    <row r="78" spans="1:37" x14ac:dyDescent="0.3">
      <c r="A78">
        <v>8008</v>
      </c>
      <c r="B78" s="207">
        <v>46121</v>
      </c>
      <c r="C78" t="s">
        <v>182</v>
      </c>
      <c r="D78" t="s">
        <v>414</v>
      </c>
      <c r="E78" t="s">
        <v>415</v>
      </c>
      <c r="F78" s="207">
        <v>47483</v>
      </c>
      <c r="G78">
        <v>1.3</v>
      </c>
      <c r="H78">
        <v>4</v>
      </c>
      <c r="I78">
        <v>3688</v>
      </c>
      <c r="J78">
        <v>3.4630000000000001</v>
      </c>
      <c r="K78">
        <v>9395</v>
      </c>
      <c r="L78">
        <v>3758</v>
      </c>
      <c r="M78">
        <v>4</v>
      </c>
      <c r="N78">
        <v>66</v>
      </c>
      <c r="O78">
        <v>13</v>
      </c>
      <c r="P78">
        <v>0</v>
      </c>
      <c r="Q78">
        <v>53</v>
      </c>
      <c r="S78">
        <v>0</v>
      </c>
      <c r="T78">
        <v>0</v>
      </c>
      <c r="U78">
        <v>0</v>
      </c>
      <c r="V78">
        <v>3.7278666666000002</v>
      </c>
      <c r="W78">
        <v>3.6043333333000001</v>
      </c>
      <c r="X78">
        <v>16.4141666666</v>
      </c>
      <c r="Z78">
        <v>9394.7900000000009</v>
      </c>
      <c r="AB78">
        <v>9396.14</v>
      </c>
      <c r="AD78">
        <v>9394.4500000000007</v>
      </c>
      <c r="AF78" t="s">
        <v>182</v>
      </c>
      <c r="AG78" t="s">
        <v>185</v>
      </c>
      <c r="AI78" t="s">
        <v>186</v>
      </c>
      <c r="AJ78" t="s">
        <v>416</v>
      </c>
      <c r="AK78" t="s">
        <v>188</v>
      </c>
    </row>
    <row r="79" spans="1:37" x14ac:dyDescent="0.3">
      <c r="A79">
        <v>8008</v>
      </c>
      <c r="B79" s="207">
        <v>46121</v>
      </c>
      <c r="C79" t="s">
        <v>182</v>
      </c>
      <c r="D79" t="s">
        <v>417</v>
      </c>
      <c r="E79" t="s">
        <v>418</v>
      </c>
      <c r="F79" s="207">
        <v>47514</v>
      </c>
      <c r="G79">
        <v>1.3</v>
      </c>
      <c r="H79">
        <v>63461</v>
      </c>
      <c r="I79">
        <v>58814060</v>
      </c>
      <c r="J79">
        <v>3.4649999999999999</v>
      </c>
      <c r="K79">
        <v>9367</v>
      </c>
      <c r="L79">
        <v>59443918</v>
      </c>
      <c r="M79">
        <v>-352293</v>
      </c>
      <c r="N79">
        <v>982151</v>
      </c>
      <c r="O79">
        <v>225367</v>
      </c>
      <c r="P79">
        <v>299266</v>
      </c>
      <c r="Q79">
        <v>457518</v>
      </c>
      <c r="S79">
        <v>0</v>
      </c>
      <c r="T79">
        <v>73440</v>
      </c>
      <c r="U79">
        <v>7340</v>
      </c>
      <c r="V79">
        <v>3.8128000000000002</v>
      </c>
      <c r="W79">
        <v>3.6858666666</v>
      </c>
      <c r="X79">
        <v>17.101199999999999</v>
      </c>
      <c r="Z79">
        <v>9366.8700000000008</v>
      </c>
      <c r="AB79">
        <v>9367.9</v>
      </c>
      <c r="AD79">
        <v>9367.2099999999991</v>
      </c>
      <c r="AF79" t="s">
        <v>182</v>
      </c>
      <c r="AG79" t="s">
        <v>185</v>
      </c>
      <c r="AI79" t="s">
        <v>186</v>
      </c>
      <c r="AJ79" t="s">
        <v>419</v>
      </c>
      <c r="AK79" t="s">
        <v>188</v>
      </c>
    </row>
    <row r="80" spans="1:37" x14ac:dyDescent="0.3">
      <c r="A80">
        <v>8008</v>
      </c>
      <c r="B80" s="207">
        <v>46121</v>
      </c>
      <c r="C80" t="s">
        <v>182</v>
      </c>
      <c r="D80" t="s">
        <v>420</v>
      </c>
      <c r="E80" t="s">
        <v>421</v>
      </c>
      <c r="F80" s="207">
        <v>47542</v>
      </c>
      <c r="G80">
        <v>1.3</v>
      </c>
      <c r="H80">
        <v>1</v>
      </c>
      <c r="I80">
        <v>920</v>
      </c>
      <c r="J80">
        <v>3.468</v>
      </c>
      <c r="K80">
        <v>9342</v>
      </c>
      <c r="L80">
        <v>934</v>
      </c>
      <c r="M80">
        <v>0</v>
      </c>
      <c r="N80">
        <v>14</v>
      </c>
      <c r="O80">
        <v>2</v>
      </c>
      <c r="P80">
        <v>0</v>
      </c>
      <c r="Q80">
        <v>12</v>
      </c>
      <c r="S80">
        <v>0</v>
      </c>
      <c r="T80">
        <v>0</v>
      </c>
      <c r="U80">
        <v>0</v>
      </c>
      <c r="V80">
        <v>3.8895</v>
      </c>
      <c r="W80">
        <v>3.7593333332999999</v>
      </c>
      <c r="X80">
        <v>17.735399999999998</v>
      </c>
      <c r="Z80">
        <v>9338.1299999999992</v>
      </c>
      <c r="AB80">
        <v>9345.86</v>
      </c>
      <c r="AD80">
        <v>9342.35</v>
      </c>
      <c r="AF80" t="s">
        <v>182</v>
      </c>
      <c r="AG80" t="s">
        <v>185</v>
      </c>
      <c r="AI80" t="s">
        <v>186</v>
      </c>
      <c r="AJ80" t="s">
        <v>422</v>
      </c>
      <c r="AK80" t="s">
        <v>188</v>
      </c>
    </row>
    <row r="81" spans="1:37" x14ac:dyDescent="0.3">
      <c r="A81">
        <v>8008</v>
      </c>
      <c r="B81" s="207">
        <v>46121</v>
      </c>
      <c r="C81" t="s">
        <v>182</v>
      </c>
      <c r="D81" t="s">
        <v>423</v>
      </c>
      <c r="E81" t="s">
        <v>424</v>
      </c>
      <c r="F81" s="207">
        <v>47726</v>
      </c>
      <c r="G81">
        <v>1</v>
      </c>
      <c r="H81">
        <v>4</v>
      </c>
      <c r="I81">
        <v>3523</v>
      </c>
      <c r="J81">
        <v>3.5430000000000001</v>
      </c>
      <c r="K81">
        <v>9018</v>
      </c>
      <c r="L81">
        <v>3607</v>
      </c>
      <c r="M81">
        <v>60</v>
      </c>
      <c r="N81">
        <v>24</v>
      </c>
      <c r="O81">
        <v>6</v>
      </c>
      <c r="P81">
        <v>0</v>
      </c>
      <c r="Q81">
        <v>18</v>
      </c>
      <c r="S81">
        <v>0</v>
      </c>
      <c r="T81">
        <v>0</v>
      </c>
      <c r="U81">
        <v>0</v>
      </c>
      <c r="V81">
        <v>4.3936000000000002</v>
      </c>
      <c r="W81">
        <v>4.2450333333000003</v>
      </c>
      <c r="X81">
        <v>22.0454333333</v>
      </c>
      <c r="Z81">
        <v>9015.4</v>
      </c>
      <c r="AB81">
        <v>9020.76</v>
      </c>
      <c r="AD81">
        <v>9018.4599999999991</v>
      </c>
      <c r="AF81" t="s">
        <v>182</v>
      </c>
      <c r="AG81" t="s">
        <v>185</v>
      </c>
      <c r="AI81" t="s">
        <v>186</v>
      </c>
      <c r="AJ81" t="s">
        <v>425</v>
      </c>
      <c r="AK81" t="s">
        <v>188</v>
      </c>
    </row>
    <row r="82" spans="1:37" x14ac:dyDescent="0.3">
      <c r="A82">
        <v>8008</v>
      </c>
      <c r="B82" s="207">
        <v>46121</v>
      </c>
      <c r="C82" t="s">
        <v>182</v>
      </c>
      <c r="D82" t="s">
        <v>426</v>
      </c>
      <c r="E82" t="s">
        <v>427</v>
      </c>
      <c r="F82" s="207">
        <v>47848</v>
      </c>
      <c r="G82">
        <v>1</v>
      </c>
      <c r="H82">
        <v>2</v>
      </c>
      <c r="I82">
        <v>1767</v>
      </c>
      <c r="J82">
        <v>3.5760000000000001</v>
      </c>
      <c r="K82">
        <v>8900</v>
      </c>
      <c r="L82">
        <v>1780</v>
      </c>
      <c r="M82">
        <v>8</v>
      </c>
      <c r="N82">
        <v>5</v>
      </c>
      <c r="O82">
        <v>3</v>
      </c>
      <c r="P82">
        <v>0</v>
      </c>
      <c r="Q82">
        <v>2</v>
      </c>
      <c r="S82">
        <v>0</v>
      </c>
      <c r="T82">
        <v>0</v>
      </c>
      <c r="U82">
        <v>0</v>
      </c>
      <c r="V82">
        <v>4.7278666665999998</v>
      </c>
      <c r="W82">
        <v>4.5659666665999996</v>
      </c>
      <c r="X82">
        <v>25.195499999999999</v>
      </c>
      <c r="Z82">
        <v>8895.2199999999993</v>
      </c>
      <c r="AB82">
        <v>8897.66</v>
      </c>
      <c r="AD82">
        <v>8909.4500000000007</v>
      </c>
      <c r="AF82" t="s">
        <v>182</v>
      </c>
      <c r="AG82" t="s">
        <v>185</v>
      </c>
      <c r="AI82" t="s">
        <v>186</v>
      </c>
      <c r="AJ82" t="s">
        <v>428</v>
      </c>
      <c r="AK82" t="s">
        <v>188</v>
      </c>
    </row>
    <row r="83" spans="1:37" x14ac:dyDescent="0.3">
      <c r="A83">
        <v>8008</v>
      </c>
      <c r="B83" s="207">
        <v>46121</v>
      </c>
      <c r="C83" t="s">
        <v>182</v>
      </c>
      <c r="D83" t="s">
        <v>429</v>
      </c>
      <c r="E83" t="s">
        <v>430</v>
      </c>
      <c r="F83" s="207">
        <v>47907</v>
      </c>
      <c r="G83">
        <v>1</v>
      </c>
      <c r="H83">
        <v>7516</v>
      </c>
      <c r="I83">
        <v>6507011</v>
      </c>
      <c r="J83">
        <v>3.633</v>
      </c>
      <c r="K83">
        <v>8827</v>
      </c>
      <c r="L83">
        <v>6634373</v>
      </c>
      <c r="M83">
        <v>118957</v>
      </c>
      <c r="N83">
        <v>8405</v>
      </c>
      <c r="O83">
        <v>2051</v>
      </c>
      <c r="P83">
        <v>0</v>
      </c>
      <c r="Q83">
        <v>6354</v>
      </c>
      <c r="S83">
        <v>0</v>
      </c>
      <c r="T83">
        <v>280</v>
      </c>
      <c r="U83">
        <v>20</v>
      </c>
      <c r="V83">
        <v>4.8895</v>
      </c>
      <c r="W83">
        <v>4.7183333333000004</v>
      </c>
      <c r="X83">
        <v>26.785366666600002</v>
      </c>
      <c r="Z83">
        <v>8826.42</v>
      </c>
      <c r="AB83">
        <v>8826.42</v>
      </c>
      <c r="AD83">
        <v>8828.51</v>
      </c>
      <c r="AF83" t="s">
        <v>182</v>
      </c>
      <c r="AG83" t="s">
        <v>185</v>
      </c>
      <c r="AI83" t="s">
        <v>186</v>
      </c>
      <c r="AJ83" t="s">
        <v>431</v>
      </c>
      <c r="AK83" t="s">
        <v>188</v>
      </c>
    </row>
    <row r="84" spans="1:37" x14ac:dyDescent="0.3">
      <c r="A84">
        <v>8008</v>
      </c>
      <c r="B84" s="207">
        <v>46121</v>
      </c>
      <c r="C84" t="s">
        <v>182</v>
      </c>
      <c r="D84" t="s">
        <v>432</v>
      </c>
      <c r="E84" t="s">
        <v>433</v>
      </c>
      <c r="F84" s="207">
        <v>47938</v>
      </c>
      <c r="G84">
        <v>1</v>
      </c>
      <c r="H84">
        <v>4956387</v>
      </c>
      <c r="I84">
        <v>4324132801</v>
      </c>
      <c r="J84">
        <v>3.6749999999999998</v>
      </c>
      <c r="K84">
        <v>8783</v>
      </c>
      <c r="L84">
        <v>4353194700</v>
      </c>
      <c r="M84">
        <v>27710548</v>
      </c>
      <c r="N84">
        <v>1351351</v>
      </c>
      <c r="O84">
        <v>679512</v>
      </c>
      <c r="P84">
        <v>0</v>
      </c>
      <c r="Q84">
        <v>671839</v>
      </c>
      <c r="S84">
        <v>0</v>
      </c>
      <c r="T84">
        <v>95110</v>
      </c>
      <c r="U84">
        <v>9490</v>
      </c>
      <c r="V84">
        <v>4.9744000000000002</v>
      </c>
      <c r="W84">
        <v>4.7975000000000003</v>
      </c>
      <c r="X84">
        <v>27.6357</v>
      </c>
      <c r="Z84">
        <v>8787.44</v>
      </c>
      <c r="AB84">
        <v>8781.1200000000008</v>
      </c>
      <c r="AD84">
        <v>8781.1200000000008</v>
      </c>
      <c r="AF84" t="s">
        <v>182</v>
      </c>
      <c r="AG84" t="s">
        <v>185</v>
      </c>
      <c r="AI84" t="s">
        <v>186</v>
      </c>
      <c r="AJ84" t="s">
        <v>434</v>
      </c>
      <c r="AK84" t="s">
        <v>188</v>
      </c>
    </row>
    <row r="85" spans="1:37" x14ac:dyDescent="0.3">
      <c r="A85">
        <v>8008</v>
      </c>
      <c r="B85" s="207">
        <v>46121</v>
      </c>
      <c r="C85" t="s">
        <v>182</v>
      </c>
      <c r="D85" t="s">
        <v>435</v>
      </c>
      <c r="E85" t="s">
        <v>436</v>
      </c>
      <c r="F85" s="207">
        <v>47968</v>
      </c>
      <c r="G85">
        <v>1</v>
      </c>
      <c r="H85">
        <v>8827573</v>
      </c>
      <c r="I85">
        <v>7712833919</v>
      </c>
      <c r="J85">
        <v>3.661</v>
      </c>
      <c r="K85">
        <v>8762</v>
      </c>
      <c r="L85">
        <v>7734719462</v>
      </c>
      <c r="M85">
        <v>21885543</v>
      </c>
      <c r="N85">
        <v>0</v>
      </c>
      <c r="O85">
        <v>0</v>
      </c>
      <c r="P85">
        <v>0</v>
      </c>
      <c r="Q85">
        <v>0</v>
      </c>
      <c r="S85">
        <v>0</v>
      </c>
      <c r="T85">
        <v>0</v>
      </c>
      <c r="U85">
        <v>0</v>
      </c>
      <c r="V85">
        <v>5.0566000000000004</v>
      </c>
      <c r="W85">
        <v>4.8776999999999999</v>
      </c>
      <c r="X85">
        <v>28.481133333300001</v>
      </c>
      <c r="Z85">
        <v>8761.34</v>
      </c>
      <c r="AB85">
        <v>8763.4699999999993</v>
      </c>
      <c r="AD85">
        <v>8763.4699999999993</v>
      </c>
      <c r="AF85" t="s">
        <v>182</v>
      </c>
      <c r="AG85" t="s">
        <v>185</v>
      </c>
      <c r="AI85" t="s">
        <v>186</v>
      </c>
      <c r="AJ85" t="s">
        <v>437</v>
      </c>
      <c r="AK85" t="s">
        <v>188</v>
      </c>
    </row>
    <row r="86" spans="1:37" x14ac:dyDescent="0.3">
      <c r="A86">
        <v>8008</v>
      </c>
      <c r="B86" s="207">
        <v>46121</v>
      </c>
      <c r="C86" t="s">
        <v>438</v>
      </c>
      <c r="D86" t="s">
        <v>439</v>
      </c>
      <c r="E86" t="s">
        <v>440</v>
      </c>
      <c r="F86" s="207">
        <v>46173</v>
      </c>
      <c r="G86">
        <v>1.25</v>
      </c>
      <c r="H86">
        <v>1736</v>
      </c>
      <c r="I86">
        <v>1725159</v>
      </c>
      <c r="J86">
        <v>2.6589999999999998</v>
      </c>
      <c r="K86">
        <v>10849</v>
      </c>
      <c r="L86">
        <v>1883386</v>
      </c>
      <c r="M86">
        <v>6613</v>
      </c>
      <c r="N86">
        <v>151614</v>
      </c>
      <c r="O86">
        <v>5886</v>
      </c>
      <c r="P86">
        <v>18846</v>
      </c>
      <c r="Q86">
        <v>126882</v>
      </c>
      <c r="S86">
        <v>0</v>
      </c>
      <c r="T86">
        <v>3460</v>
      </c>
      <c r="U86">
        <v>340</v>
      </c>
      <c r="V86">
        <v>0.14169999999999999</v>
      </c>
      <c r="W86">
        <v>0.13800000000000001</v>
      </c>
      <c r="X86">
        <v>0.1147666666</v>
      </c>
      <c r="Z86">
        <v>10849.37</v>
      </c>
      <c r="AB86">
        <v>10850.88</v>
      </c>
      <c r="AD86">
        <v>10849.59</v>
      </c>
      <c r="AF86" t="s">
        <v>182</v>
      </c>
      <c r="AG86" t="s">
        <v>185</v>
      </c>
      <c r="AI86" t="s">
        <v>186</v>
      </c>
      <c r="AJ86" t="s">
        <v>441</v>
      </c>
      <c r="AK86" t="s">
        <v>188</v>
      </c>
    </row>
    <row r="87" spans="1:37" x14ac:dyDescent="0.3">
      <c r="A87">
        <v>8008</v>
      </c>
      <c r="B87" s="207">
        <v>46121</v>
      </c>
      <c r="C87" t="s">
        <v>438</v>
      </c>
      <c r="D87" t="s">
        <v>442</v>
      </c>
      <c r="E87" t="s">
        <v>443</v>
      </c>
      <c r="F87" s="207">
        <v>46234</v>
      </c>
      <c r="G87">
        <v>1.25</v>
      </c>
      <c r="H87">
        <v>28762</v>
      </c>
      <c r="I87">
        <v>28285343</v>
      </c>
      <c r="J87">
        <v>2.7309999999999999</v>
      </c>
      <c r="K87">
        <v>10799</v>
      </c>
      <c r="L87">
        <v>31060079</v>
      </c>
      <c r="M87">
        <v>322878</v>
      </c>
      <c r="N87">
        <v>2451858</v>
      </c>
      <c r="O87">
        <v>63099</v>
      </c>
      <c r="P87">
        <v>1066246</v>
      </c>
      <c r="Q87">
        <v>1322513</v>
      </c>
      <c r="S87">
        <v>0</v>
      </c>
      <c r="T87">
        <v>158070</v>
      </c>
      <c r="U87">
        <v>15780</v>
      </c>
      <c r="V87">
        <v>0.30966666659999997</v>
      </c>
      <c r="W87">
        <v>0.30143333329999999</v>
      </c>
      <c r="X87">
        <v>0.31636666660000001</v>
      </c>
      <c r="Z87">
        <v>10798.9</v>
      </c>
      <c r="AB87">
        <v>10801.03</v>
      </c>
      <c r="AD87">
        <v>10799.36</v>
      </c>
      <c r="AF87" t="s">
        <v>182</v>
      </c>
      <c r="AG87" t="s">
        <v>185</v>
      </c>
      <c r="AI87" t="s">
        <v>186</v>
      </c>
      <c r="AJ87" t="s">
        <v>444</v>
      </c>
      <c r="AK87" t="s">
        <v>188</v>
      </c>
    </row>
    <row r="88" spans="1:37" x14ac:dyDescent="0.3">
      <c r="A88">
        <v>8008</v>
      </c>
      <c r="B88" s="207">
        <v>46121</v>
      </c>
      <c r="C88" t="s">
        <v>438</v>
      </c>
      <c r="D88" t="s">
        <v>445</v>
      </c>
      <c r="E88" t="s">
        <v>446</v>
      </c>
      <c r="F88" s="207">
        <v>46387</v>
      </c>
      <c r="G88">
        <v>1</v>
      </c>
      <c r="H88">
        <v>9</v>
      </c>
      <c r="I88">
        <v>8487</v>
      </c>
      <c r="J88">
        <v>2.879</v>
      </c>
      <c r="K88">
        <v>10490</v>
      </c>
      <c r="L88">
        <v>9441</v>
      </c>
      <c r="M88">
        <v>381</v>
      </c>
      <c r="N88">
        <v>573</v>
      </c>
      <c r="O88">
        <v>22</v>
      </c>
      <c r="P88">
        <v>0</v>
      </c>
      <c r="Q88">
        <v>551</v>
      </c>
      <c r="S88">
        <v>0</v>
      </c>
      <c r="T88">
        <v>0</v>
      </c>
      <c r="U88">
        <v>0</v>
      </c>
      <c r="V88">
        <v>0.7288</v>
      </c>
      <c r="W88">
        <v>0.70840000000000003</v>
      </c>
      <c r="X88">
        <v>1.1285666666</v>
      </c>
      <c r="Z88">
        <v>10490.19</v>
      </c>
      <c r="AB88">
        <v>10491.56</v>
      </c>
      <c r="AD88">
        <v>10490.49</v>
      </c>
      <c r="AF88" t="s">
        <v>182</v>
      </c>
      <c r="AG88" t="s">
        <v>185</v>
      </c>
      <c r="AI88" t="s">
        <v>186</v>
      </c>
      <c r="AJ88" t="s">
        <v>447</v>
      </c>
      <c r="AK88" t="s">
        <v>188</v>
      </c>
    </row>
    <row r="89" spans="1:37" x14ac:dyDescent="0.3">
      <c r="A89">
        <v>8008</v>
      </c>
      <c r="B89" s="207">
        <v>46121</v>
      </c>
      <c r="C89" t="s">
        <v>438</v>
      </c>
      <c r="D89" t="s">
        <v>448</v>
      </c>
      <c r="E89" t="s">
        <v>449</v>
      </c>
      <c r="F89" s="207">
        <v>46904</v>
      </c>
      <c r="G89">
        <v>1</v>
      </c>
      <c r="H89">
        <v>537</v>
      </c>
      <c r="I89">
        <v>509810</v>
      </c>
      <c r="J89">
        <v>3.3180000000000001</v>
      </c>
      <c r="K89">
        <v>9986</v>
      </c>
      <c r="L89">
        <v>536247</v>
      </c>
      <c r="M89">
        <v>-170</v>
      </c>
      <c r="N89">
        <v>26607</v>
      </c>
      <c r="O89">
        <v>1519</v>
      </c>
      <c r="P89">
        <v>520</v>
      </c>
      <c r="Q89">
        <v>24568</v>
      </c>
      <c r="S89">
        <v>0</v>
      </c>
      <c r="T89">
        <v>280</v>
      </c>
      <c r="U89">
        <v>20</v>
      </c>
      <c r="V89">
        <v>2.1419666666000001</v>
      </c>
      <c r="W89">
        <v>2.0731666666000002</v>
      </c>
      <c r="X89">
        <v>6.2661666666000002</v>
      </c>
      <c r="Z89">
        <v>9984.57</v>
      </c>
      <c r="AB89">
        <v>9990.67</v>
      </c>
      <c r="AD89">
        <v>9985.4</v>
      </c>
      <c r="AF89" t="s">
        <v>182</v>
      </c>
      <c r="AG89" t="s">
        <v>185</v>
      </c>
      <c r="AI89" t="s">
        <v>186</v>
      </c>
      <c r="AJ89" t="s">
        <v>450</v>
      </c>
      <c r="AK89" t="s">
        <v>188</v>
      </c>
    </row>
    <row r="90" spans="1:37" x14ac:dyDescent="0.3">
      <c r="A90">
        <v>8008</v>
      </c>
      <c r="B90" s="207">
        <v>46121</v>
      </c>
      <c r="C90" t="s">
        <v>438</v>
      </c>
      <c r="D90" t="s">
        <v>451</v>
      </c>
      <c r="E90" t="s">
        <v>452</v>
      </c>
      <c r="F90" s="207">
        <v>47149</v>
      </c>
      <c r="G90">
        <v>1</v>
      </c>
      <c r="H90">
        <v>9335</v>
      </c>
      <c r="I90">
        <v>8704390</v>
      </c>
      <c r="J90">
        <v>3.4849999999999999</v>
      </c>
      <c r="K90">
        <v>9725</v>
      </c>
      <c r="L90">
        <v>9078287</v>
      </c>
      <c r="M90">
        <v>-23430</v>
      </c>
      <c r="N90">
        <v>397327</v>
      </c>
      <c r="O90">
        <v>26230</v>
      </c>
      <c r="P90">
        <v>135968</v>
      </c>
      <c r="Q90">
        <v>235129</v>
      </c>
      <c r="S90">
        <v>0</v>
      </c>
      <c r="T90">
        <v>22700</v>
      </c>
      <c r="U90">
        <v>2270</v>
      </c>
      <c r="V90">
        <v>2.8136000000000001</v>
      </c>
      <c r="W90">
        <v>2.7187999999999999</v>
      </c>
      <c r="X90">
        <v>9.9726666666000003</v>
      </c>
      <c r="Z90">
        <v>9724.86</v>
      </c>
      <c r="AB90">
        <v>9728.39</v>
      </c>
      <c r="AD90">
        <v>9724.33</v>
      </c>
      <c r="AF90" t="s">
        <v>182</v>
      </c>
      <c r="AG90" t="s">
        <v>185</v>
      </c>
      <c r="AI90" t="s">
        <v>186</v>
      </c>
      <c r="AJ90" t="s">
        <v>453</v>
      </c>
      <c r="AK90" t="s">
        <v>188</v>
      </c>
    </row>
    <row r="91" spans="1:37" x14ac:dyDescent="0.3">
      <c r="A91">
        <v>8008</v>
      </c>
      <c r="B91" s="207">
        <v>46121</v>
      </c>
      <c r="C91" t="s">
        <v>438</v>
      </c>
      <c r="D91" t="s">
        <v>454</v>
      </c>
      <c r="E91" t="s">
        <v>455</v>
      </c>
      <c r="F91" s="207">
        <v>47269</v>
      </c>
      <c r="G91">
        <v>1</v>
      </c>
      <c r="H91">
        <v>300</v>
      </c>
      <c r="I91">
        <v>277393</v>
      </c>
      <c r="J91">
        <v>3.5539999999999998</v>
      </c>
      <c r="K91">
        <v>9596</v>
      </c>
      <c r="L91">
        <v>287880</v>
      </c>
      <c r="M91">
        <v>-1260</v>
      </c>
      <c r="N91">
        <v>11747</v>
      </c>
      <c r="O91">
        <v>840</v>
      </c>
      <c r="P91">
        <v>2263</v>
      </c>
      <c r="Q91">
        <v>8644</v>
      </c>
      <c r="S91">
        <v>0</v>
      </c>
      <c r="T91">
        <v>430</v>
      </c>
      <c r="U91">
        <v>40</v>
      </c>
      <c r="V91">
        <v>3.1420666665999999</v>
      </c>
      <c r="W91">
        <v>3.0341999999999998</v>
      </c>
      <c r="X91">
        <v>12.098100000000001</v>
      </c>
      <c r="Z91">
        <v>9596.75</v>
      </c>
      <c r="AB91">
        <v>9598.2999999999993</v>
      </c>
      <c r="AD91">
        <v>9595.58</v>
      </c>
      <c r="AF91" t="s">
        <v>182</v>
      </c>
      <c r="AG91" t="s">
        <v>185</v>
      </c>
      <c r="AI91" t="s">
        <v>186</v>
      </c>
      <c r="AJ91" t="s">
        <v>456</v>
      </c>
      <c r="AK91" t="s">
        <v>188</v>
      </c>
    </row>
    <row r="92" spans="1:37" x14ac:dyDescent="0.3">
      <c r="A92">
        <v>8008</v>
      </c>
      <c r="B92" s="207">
        <v>46121</v>
      </c>
      <c r="C92" t="s">
        <v>438</v>
      </c>
      <c r="D92" t="s">
        <v>457</v>
      </c>
      <c r="E92" t="s">
        <v>458</v>
      </c>
      <c r="F92" s="207">
        <v>47299</v>
      </c>
      <c r="G92">
        <v>1</v>
      </c>
      <c r="H92">
        <v>3</v>
      </c>
      <c r="I92">
        <v>2769</v>
      </c>
      <c r="J92">
        <v>3.5569999999999999</v>
      </c>
      <c r="K92">
        <v>9568</v>
      </c>
      <c r="L92">
        <v>2870</v>
      </c>
      <c r="M92">
        <v>-13</v>
      </c>
      <c r="N92">
        <v>114</v>
      </c>
      <c r="O92">
        <v>26</v>
      </c>
      <c r="P92">
        <v>0</v>
      </c>
      <c r="Q92">
        <v>88</v>
      </c>
      <c r="S92">
        <v>0</v>
      </c>
      <c r="T92">
        <v>0</v>
      </c>
      <c r="U92">
        <v>0</v>
      </c>
      <c r="V92">
        <v>3.2248666666000001</v>
      </c>
      <c r="W92">
        <v>3.1140666665999999</v>
      </c>
      <c r="X92">
        <v>12.649900000000001</v>
      </c>
      <c r="Z92">
        <v>9567.73</v>
      </c>
      <c r="AB92">
        <v>9570.2099999999991</v>
      </c>
      <c r="AD92">
        <v>9566.84</v>
      </c>
      <c r="AF92" t="s">
        <v>182</v>
      </c>
      <c r="AG92" t="s">
        <v>185</v>
      </c>
      <c r="AI92" t="s">
        <v>186</v>
      </c>
      <c r="AJ92" t="s">
        <v>459</v>
      </c>
      <c r="AK92" t="s">
        <v>188</v>
      </c>
    </row>
    <row r="93" spans="1:37" x14ac:dyDescent="0.3">
      <c r="A93">
        <v>8008</v>
      </c>
      <c r="B93" s="207">
        <v>46121</v>
      </c>
      <c r="C93" t="s">
        <v>438</v>
      </c>
      <c r="D93" t="s">
        <v>460</v>
      </c>
      <c r="E93" t="s">
        <v>461</v>
      </c>
      <c r="F93" s="207">
        <v>47514</v>
      </c>
      <c r="G93">
        <v>2.5</v>
      </c>
      <c r="H93">
        <v>25307</v>
      </c>
      <c r="I93">
        <v>24292008</v>
      </c>
      <c r="J93">
        <v>3.5739999999999998</v>
      </c>
      <c r="K93">
        <v>10333</v>
      </c>
      <c r="L93">
        <v>26149721</v>
      </c>
      <c r="M93">
        <v>-215666</v>
      </c>
      <c r="N93">
        <v>2073379</v>
      </c>
      <c r="O93">
        <v>182766</v>
      </c>
      <c r="P93">
        <v>708393</v>
      </c>
      <c r="Q93">
        <v>1182220</v>
      </c>
      <c r="S93">
        <v>0</v>
      </c>
      <c r="T93">
        <v>124730</v>
      </c>
      <c r="U93">
        <v>12450</v>
      </c>
      <c r="V93">
        <v>3.8136666666000001</v>
      </c>
      <c r="W93">
        <v>3.6819999999999999</v>
      </c>
      <c r="X93">
        <v>17.0657</v>
      </c>
      <c r="Z93">
        <v>10326.76</v>
      </c>
      <c r="AB93">
        <v>10340.540000000001</v>
      </c>
      <c r="AD93">
        <v>10332.09</v>
      </c>
      <c r="AF93" t="s">
        <v>182</v>
      </c>
      <c r="AG93" t="s">
        <v>185</v>
      </c>
      <c r="AI93" t="s">
        <v>186</v>
      </c>
      <c r="AJ93" t="s">
        <v>462</v>
      </c>
      <c r="AK93" t="s">
        <v>188</v>
      </c>
    </row>
    <row r="94" spans="1:37" x14ac:dyDescent="0.3">
      <c r="A94">
        <v>8008</v>
      </c>
      <c r="B94" s="207">
        <v>46121</v>
      </c>
      <c r="C94" t="s">
        <v>438</v>
      </c>
      <c r="D94" t="s">
        <v>463</v>
      </c>
      <c r="E94" t="s">
        <v>464</v>
      </c>
      <c r="F94" s="207">
        <v>47542</v>
      </c>
      <c r="G94">
        <v>2.5</v>
      </c>
      <c r="H94">
        <v>84937</v>
      </c>
      <c r="I94">
        <v>81439854</v>
      </c>
      <c r="J94">
        <v>3.577</v>
      </c>
      <c r="K94">
        <v>10304</v>
      </c>
      <c r="L94">
        <v>87519081</v>
      </c>
      <c r="M94">
        <v>-705679</v>
      </c>
      <c r="N94">
        <v>6784906</v>
      </c>
      <c r="O94">
        <v>612248</v>
      </c>
      <c r="P94">
        <v>1942550</v>
      </c>
      <c r="Q94">
        <v>4230108</v>
      </c>
      <c r="S94">
        <v>0</v>
      </c>
      <c r="T94">
        <v>357620</v>
      </c>
      <c r="U94">
        <v>35700</v>
      </c>
      <c r="V94">
        <v>3.8897333333000002</v>
      </c>
      <c r="W94">
        <v>3.7553666666000001</v>
      </c>
      <c r="X94">
        <v>17.698599999999999</v>
      </c>
      <c r="Z94">
        <v>10296.870000000001</v>
      </c>
      <c r="AB94">
        <v>10313.200000000001</v>
      </c>
      <c r="AD94">
        <v>10303.83</v>
      </c>
      <c r="AF94" t="s">
        <v>182</v>
      </c>
      <c r="AG94" t="s">
        <v>185</v>
      </c>
      <c r="AI94" t="s">
        <v>186</v>
      </c>
      <c r="AJ94" t="s">
        <v>465</v>
      </c>
      <c r="AK94" t="s">
        <v>188</v>
      </c>
    </row>
    <row r="95" spans="1:37" x14ac:dyDescent="0.3">
      <c r="A95">
        <v>8008</v>
      </c>
      <c r="B95" s="207">
        <v>46121</v>
      </c>
      <c r="C95" t="s">
        <v>438</v>
      </c>
      <c r="D95" t="s">
        <v>466</v>
      </c>
      <c r="E95" t="s">
        <v>467</v>
      </c>
      <c r="F95" s="207">
        <v>47573</v>
      </c>
      <c r="G95">
        <v>2.5</v>
      </c>
      <c r="H95">
        <v>6</v>
      </c>
      <c r="I95">
        <v>5683</v>
      </c>
      <c r="J95">
        <v>3.5790000000000002</v>
      </c>
      <c r="K95">
        <v>10273</v>
      </c>
      <c r="L95">
        <v>6163</v>
      </c>
      <c r="M95">
        <v>15</v>
      </c>
      <c r="N95">
        <v>465</v>
      </c>
      <c r="O95">
        <v>40</v>
      </c>
      <c r="P95">
        <v>0</v>
      </c>
      <c r="Q95">
        <v>425</v>
      </c>
      <c r="S95">
        <v>0</v>
      </c>
      <c r="T95">
        <v>0</v>
      </c>
      <c r="U95">
        <v>0</v>
      </c>
      <c r="V95">
        <v>3.9738000000000002</v>
      </c>
      <c r="W95">
        <v>3.8365</v>
      </c>
      <c r="X95">
        <v>18.414633333299999</v>
      </c>
      <c r="Z95">
        <v>10265.290000000001</v>
      </c>
      <c r="AB95">
        <v>10282.709999999999</v>
      </c>
      <c r="AD95">
        <v>10272.379999999999</v>
      </c>
      <c r="AF95" t="s">
        <v>182</v>
      </c>
      <c r="AG95" t="s">
        <v>185</v>
      </c>
      <c r="AI95" t="s">
        <v>186</v>
      </c>
      <c r="AJ95" t="s">
        <v>468</v>
      </c>
      <c r="AK95" t="s">
        <v>188</v>
      </c>
    </row>
    <row r="96" spans="1:37" x14ac:dyDescent="0.3">
      <c r="A96">
        <v>8008</v>
      </c>
      <c r="B96" s="207">
        <v>46121</v>
      </c>
      <c r="C96" t="s">
        <v>438</v>
      </c>
      <c r="D96" t="s">
        <v>469</v>
      </c>
      <c r="E96" t="s">
        <v>470</v>
      </c>
      <c r="F96" s="207">
        <v>47695</v>
      </c>
      <c r="G96">
        <v>2.5</v>
      </c>
      <c r="H96">
        <v>3</v>
      </c>
      <c r="I96">
        <v>2826</v>
      </c>
      <c r="J96">
        <v>3.6160000000000001</v>
      </c>
      <c r="K96">
        <v>10136</v>
      </c>
      <c r="L96">
        <v>3040</v>
      </c>
      <c r="M96">
        <v>8</v>
      </c>
      <c r="N96">
        <v>206</v>
      </c>
      <c r="O96">
        <v>20</v>
      </c>
      <c r="P96">
        <v>0</v>
      </c>
      <c r="Q96">
        <v>186</v>
      </c>
      <c r="S96">
        <v>0</v>
      </c>
      <c r="T96">
        <v>0</v>
      </c>
      <c r="U96">
        <v>0</v>
      </c>
      <c r="V96">
        <v>4.3102666665999996</v>
      </c>
      <c r="W96">
        <v>4.1598666666000002</v>
      </c>
      <c r="X96">
        <v>21.252233333300001</v>
      </c>
      <c r="Z96">
        <v>10127.86</v>
      </c>
      <c r="AB96">
        <v>10144.39</v>
      </c>
      <c r="AD96">
        <v>10137.98</v>
      </c>
      <c r="AF96" t="s">
        <v>182</v>
      </c>
      <c r="AG96" t="s">
        <v>185</v>
      </c>
      <c r="AI96" t="s">
        <v>186</v>
      </c>
      <c r="AJ96" t="s">
        <v>471</v>
      </c>
      <c r="AK96" t="s">
        <v>188</v>
      </c>
    </row>
    <row r="97" spans="1:37" x14ac:dyDescent="0.3">
      <c r="A97">
        <v>8008</v>
      </c>
      <c r="B97" s="207">
        <v>46121</v>
      </c>
      <c r="C97" t="s">
        <v>438</v>
      </c>
      <c r="D97" t="s">
        <v>472</v>
      </c>
      <c r="E97" t="s">
        <v>473</v>
      </c>
      <c r="F97" s="207">
        <v>47726</v>
      </c>
      <c r="G97">
        <v>2.5</v>
      </c>
      <c r="H97">
        <v>1</v>
      </c>
      <c r="I97">
        <v>936</v>
      </c>
      <c r="J97">
        <v>3.6240000000000001</v>
      </c>
      <c r="K97">
        <v>10102</v>
      </c>
      <c r="L97">
        <v>1010</v>
      </c>
      <c r="M97">
        <v>8</v>
      </c>
      <c r="N97">
        <v>66</v>
      </c>
      <c r="O97">
        <v>5</v>
      </c>
      <c r="P97">
        <v>0</v>
      </c>
      <c r="Q97">
        <v>61</v>
      </c>
      <c r="S97">
        <v>0</v>
      </c>
      <c r="T97">
        <v>0</v>
      </c>
      <c r="U97">
        <v>0</v>
      </c>
      <c r="V97">
        <v>4.3955333333000004</v>
      </c>
      <c r="W97">
        <v>4.2417666666000002</v>
      </c>
      <c r="X97">
        <v>22.011633333300001</v>
      </c>
      <c r="Z97">
        <v>10094.870000000001</v>
      </c>
      <c r="AB97">
        <v>10108.66</v>
      </c>
      <c r="AD97">
        <v>10103.870000000001</v>
      </c>
      <c r="AF97" t="s">
        <v>182</v>
      </c>
      <c r="AG97" t="s">
        <v>185</v>
      </c>
      <c r="AI97" t="s">
        <v>186</v>
      </c>
      <c r="AJ97" t="s">
        <v>474</v>
      </c>
      <c r="AK97" t="s">
        <v>188</v>
      </c>
    </row>
    <row r="98" spans="1:37" x14ac:dyDescent="0.3">
      <c r="A98">
        <v>8008</v>
      </c>
      <c r="B98" s="207">
        <v>46121</v>
      </c>
      <c r="C98" t="s">
        <v>438</v>
      </c>
      <c r="D98" t="s">
        <v>475</v>
      </c>
      <c r="E98" t="s">
        <v>476</v>
      </c>
      <c r="F98" s="207">
        <v>47817</v>
      </c>
      <c r="G98">
        <v>2.5</v>
      </c>
      <c r="H98">
        <v>1115</v>
      </c>
      <c r="I98">
        <v>986329</v>
      </c>
      <c r="J98">
        <v>3.6509999999999998</v>
      </c>
      <c r="K98">
        <v>10000</v>
      </c>
      <c r="L98">
        <v>1115000</v>
      </c>
      <c r="M98">
        <v>61798</v>
      </c>
      <c r="N98">
        <v>66873</v>
      </c>
      <c r="O98">
        <v>2591</v>
      </c>
      <c r="P98">
        <v>0</v>
      </c>
      <c r="Q98">
        <v>64282</v>
      </c>
      <c r="S98">
        <v>0</v>
      </c>
      <c r="T98">
        <v>350</v>
      </c>
      <c r="U98">
        <v>30</v>
      </c>
      <c r="V98">
        <v>4.6447333332999996</v>
      </c>
      <c r="W98">
        <v>4.4810999999999996</v>
      </c>
      <c r="X98">
        <v>24.332899999999999</v>
      </c>
      <c r="Z98">
        <v>9994.5300000000007</v>
      </c>
      <c r="AB98">
        <v>10004.469999999999</v>
      </c>
      <c r="AD98">
        <v>10003.950000000001</v>
      </c>
      <c r="AF98" t="s">
        <v>182</v>
      </c>
      <c r="AG98" t="s">
        <v>185</v>
      </c>
      <c r="AI98" t="s">
        <v>186</v>
      </c>
      <c r="AJ98" t="s">
        <v>477</v>
      </c>
      <c r="AK98" t="s">
        <v>188</v>
      </c>
    </row>
    <row r="99" spans="1:37" x14ac:dyDescent="0.3">
      <c r="A99">
        <v>8008</v>
      </c>
      <c r="B99" s="207">
        <v>46121</v>
      </c>
      <c r="C99" t="s">
        <v>438</v>
      </c>
      <c r="D99" t="s">
        <v>478</v>
      </c>
      <c r="E99" t="s">
        <v>479</v>
      </c>
      <c r="F99" s="207">
        <v>47848</v>
      </c>
      <c r="G99">
        <v>2.5</v>
      </c>
      <c r="H99">
        <v>14952</v>
      </c>
      <c r="I99">
        <v>14071344</v>
      </c>
      <c r="J99">
        <v>3.661</v>
      </c>
      <c r="K99">
        <v>9966</v>
      </c>
      <c r="L99">
        <v>14901163</v>
      </c>
      <c r="M99">
        <v>-33757</v>
      </c>
      <c r="N99">
        <v>863576</v>
      </c>
      <c r="O99">
        <v>85189</v>
      </c>
      <c r="P99">
        <v>54779</v>
      </c>
      <c r="Q99">
        <v>723608</v>
      </c>
      <c r="S99">
        <v>0</v>
      </c>
      <c r="T99">
        <v>19580</v>
      </c>
      <c r="U99">
        <v>1950</v>
      </c>
      <c r="V99">
        <v>4.7293000000000003</v>
      </c>
      <c r="W99">
        <v>4.5622333333</v>
      </c>
      <c r="X99">
        <v>25.154666666600001</v>
      </c>
      <c r="Z99">
        <v>9960.1299999999992</v>
      </c>
      <c r="AB99">
        <v>9969.2900000000009</v>
      </c>
      <c r="AD99">
        <v>9969.68</v>
      </c>
      <c r="AF99" t="s">
        <v>182</v>
      </c>
      <c r="AG99" t="s">
        <v>185</v>
      </c>
      <c r="AI99" t="s">
        <v>186</v>
      </c>
      <c r="AJ99" t="s">
        <v>480</v>
      </c>
      <c r="AK99" t="s">
        <v>188</v>
      </c>
    </row>
    <row r="100" spans="1:37" x14ac:dyDescent="0.3">
      <c r="A100">
        <v>8008</v>
      </c>
      <c r="B100" s="207">
        <v>46121</v>
      </c>
      <c r="C100" t="s">
        <v>438</v>
      </c>
      <c r="D100" t="s">
        <v>481</v>
      </c>
      <c r="E100" t="s">
        <v>482</v>
      </c>
      <c r="F100" s="207">
        <v>47879</v>
      </c>
      <c r="G100">
        <v>2.5</v>
      </c>
      <c r="H100">
        <v>3011</v>
      </c>
      <c r="I100">
        <v>2846012</v>
      </c>
      <c r="J100">
        <v>3.6709999999999998</v>
      </c>
      <c r="K100">
        <v>9931</v>
      </c>
      <c r="L100">
        <v>2990224</v>
      </c>
      <c r="M100">
        <v>-23021</v>
      </c>
      <c r="N100">
        <v>167233</v>
      </c>
      <c r="O100">
        <v>21215</v>
      </c>
      <c r="P100">
        <v>12363</v>
      </c>
      <c r="Q100">
        <v>133655</v>
      </c>
      <c r="S100">
        <v>0</v>
      </c>
      <c r="T100">
        <v>4700</v>
      </c>
      <c r="U100">
        <v>470</v>
      </c>
      <c r="V100">
        <v>4.8136999999999999</v>
      </c>
      <c r="W100">
        <v>4.6432000000000002</v>
      </c>
      <c r="X100">
        <v>25.9916666666</v>
      </c>
      <c r="Z100">
        <v>9924.86</v>
      </c>
      <c r="AB100">
        <v>9933.7000000000007</v>
      </c>
      <c r="AD100">
        <v>9935.94</v>
      </c>
      <c r="AF100" t="s">
        <v>182</v>
      </c>
      <c r="AG100" t="s">
        <v>185</v>
      </c>
      <c r="AI100" t="s">
        <v>186</v>
      </c>
      <c r="AJ100" t="s">
        <v>483</v>
      </c>
      <c r="AK100" t="s">
        <v>188</v>
      </c>
    </row>
    <row r="101" spans="1:37" x14ac:dyDescent="0.3">
      <c r="A101">
        <v>8008</v>
      </c>
      <c r="B101" s="207">
        <v>46121</v>
      </c>
      <c r="C101" t="s">
        <v>438</v>
      </c>
      <c r="D101" t="s">
        <v>484</v>
      </c>
      <c r="E101" t="s">
        <v>485</v>
      </c>
      <c r="F101" s="207">
        <v>47907</v>
      </c>
      <c r="G101">
        <v>2.5</v>
      </c>
      <c r="H101">
        <v>9571</v>
      </c>
      <c r="I101">
        <v>8724117</v>
      </c>
      <c r="J101">
        <v>3.681</v>
      </c>
      <c r="K101">
        <v>9899</v>
      </c>
      <c r="L101">
        <v>9474332</v>
      </c>
      <c r="M101">
        <v>237754</v>
      </c>
      <c r="N101">
        <v>512461</v>
      </c>
      <c r="O101">
        <v>47779</v>
      </c>
      <c r="P101">
        <v>7378</v>
      </c>
      <c r="Q101">
        <v>457304</v>
      </c>
      <c r="S101">
        <v>0</v>
      </c>
      <c r="T101">
        <v>7720</v>
      </c>
      <c r="U101">
        <v>770</v>
      </c>
      <c r="V101">
        <v>4.8897666665999999</v>
      </c>
      <c r="W101">
        <v>4.7161333333000002</v>
      </c>
      <c r="X101">
        <v>26.7605333333</v>
      </c>
      <c r="Z101">
        <v>9892.09</v>
      </c>
      <c r="AB101">
        <v>9901.9599999999991</v>
      </c>
      <c r="AD101">
        <v>9905.16</v>
      </c>
      <c r="AF101" t="s">
        <v>182</v>
      </c>
      <c r="AG101" t="s">
        <v>185</v>
      </c>
      <c r="AI101" t="s">
        <v>186</v>
      </c>
      <c r="AJ101" t="s">
        <v>486</v>
      </c>
      <c r="AK101" t="s">
        <v>188</v>
      </c>
    </row>
    <row r="102" spans="1:37" x14ac:dyDescent="0.3">
      <c r="A102">
        <v>8008</v>
      </c>
      <c r="B102" s="207">
        <v>46121</v>
      </c>
      <c r="C102" t="s">
        <v>438</v>
      </c>
      <c r="D102" t="s">
        <v>487</v>
      </c>
      <c r="E102" t="s">
        <v>488</v>
      </c>
      <c r="F102" s="207">
        <v>47938</v>
      </c>
      <c r="G102">
        <v>2.5</v>
      </c>
      <c r="H102">
        <v>16980</v>
      </c>
      <c r="I102">
        <v>15817174</v>
      </c>
      <c r="J102">
        <v>3.6920000000000002</v>
      </c>
      <c r="K102">
        <v>9864</v>
      </c>
      <c r="L102">
        <v>16749072</v>
      </c>
      <c r="M102">
        <v>60213</v>
      </c>
      <c r="N102">
        <v>871685</v>
      </c>
      <c r="O102">
        <v>51855</v>
      </c>
      <c r="P102">
        <v>0</v>
      </c>
      <c r="Q102">
        <v>819830</v>
      </c>
      <c r="S102">
        <v>0</v>
      </c>
      <c r="T102">
        <v>7250</v>
      </c>
      <c r="U102">
        <v>720</v>
      </c>
      <c r="V102">
        <v>4.9738333333</v>
      </c>
      <c r="W102">
        <v>4.7967333332999997</v>
      </c>
      <c r="X102">
        <v>27.626300000000001</v>
      </c>
      <c r="Z102">
        <v>9856.43</v>
      </c>
      <c r="AB102">
        <v>9865.9500000000007</v>
      </c>
      <c r="AD102">
        <v>9871.56</v>
      </c>
      <c r="AF102" t="s">
        <v>182</v>
      </c>
      <c r="AG102" t="s">
        <v>185</v>
      </c>
      <c r="AI102" t="s">
        <v>186</v>
      </c>
      <c r="AJ102" t="s">
        <v>489</v>
      </c>
      <c r="AK102" t="s">
        <v>188</v>
      </c>
    </row>
    <row r="103" spans="1:37" x14ac:dyDescent="0.3">
      <c r="A103">
        <v>8008</v>
      </c>
      <c r="B103" s="207">
        <v>46121</v>
      </c>
      <c r="C103" t="s">
        <v>438</v>
      </c>
      <c r="D103" t="s">
        <v>490</v>
      </c>
      <c r="E103" t="s">
        <v>491</v>
      </c>
      <c r="F103" s="207">
        <v>48029</v>
      </c>
      <c r="G103">
        <v>2.5</v>
      </c>
      <c r="H103">
        <v>8</v>
      </c>
      <c r="I103">
        <v>7517</v>
      </c>
      <c r="J103">
        <v>3.71</v>
      </c>
      <c r="K103">
        <v>9766</v>
      </c>
      <c r="L103">
        <v>7812</v>
      </c>
      <c r="M103">
        <v>-64</v>
      </c>
      <c r="N103">
        <v>359</v>
      </c>
      <c r="O103">
        <v>196</v>
      </c>
      <c r="P103">
        <v>0</v>
      </c>
      <c r="Q103">
        <v>163</v>
      </c>
      <c r="S103">
        <v>0</v>
      </c>
      <c r="T103">
        <v>20</v>
      </c>
      <c r="U103">
        <v>0</v>
      </c>
      <c r="V103">
        <v>5.2249666666000003</v>
      </c>
      <c r="W103">
        <v>5.0380333332999996</v>
      </c>
      <c r="X103">
        <v>30.184899999999999</v>
      </c>
      <c r="Z103">
        <v>9758.98</v>
      </c>
      <c r="AB103">
        <v>9764.4599999999991</v>
      </c>
      <c r="AD103">
        <v>9775.2199999999993</v>
      </c>
      <c r="AF103" t="s">
        <v>182</v>
      </c>
      <c r="AG103" t="s">
        <v>185</v>
      </c>
      <c r="AI103" t="s">
        <v>186</v>
      </c>
      <c r="AJ103" t="s">
        <v>492</v>
      </c>
      <c r="AK103" t="s">
        <v>188</v>
      </c>
    </row>
    <row r="104" spans="1:37" x14ac:dyDescent="0.3">
      <c r="A104">
        <v>8008</v>
      </c>
      <c r="B104" s="207">
        <v>46121</v>
      </c>
      <c r="C104" t="s">
        <v>438</v>
      </c>
      <c r="D104" t="s">
        <v>493</v>
      </c>
      <c r="E104" t="s">
        <v>494</v>
      </c>
      <c r="F104" s="207">
        <v>48060</v>
      </c>
      <c r="G104">
        <v>2.5</v>
      </c>
      <c r="H104">
        <v>4244</v>
      </c>
      <c r="I104">
        <v>3912779</v>
      </c>
      <c r="J104">
        <v>3.7160000000000002</v>
      </c>
      <c r="K104">
        <v>9732</v>
      </c>
      <c r="L104">
        <v>4130260</v>
      </c>
      <c r="M104">
        <v>36286</v>
      </c>
      <c r="N104">
        <v>181195</v>
      </c>
      <c r="O104">
        <v>22921</v>
      </c>
      <c r="P104">
        <v>26580</v>
      </c>
      <c r="Q104">
        <v>131694</v>
      </c>
      <c r="S104">
        <v>0</v>
      </c>
      <c r="T104">
        <v>6920</v>
      </c>
      <c r="U104">
        <v>690</v>
      </c>
      <c r="V104">
        <v>5.3103666666000002</v>
      </c>
      <c r="W104">
        <v>5.1200666665999996</v>
      </c>
      <c r="X104">
        <v>31.0849333333</v>
      </c>
      <c r="Z104">
        <v>9725.4599999999991</v>
      </c>
      <c r="AB104">
        <v>9730.01</v>
      </c>
      <c r="AD104">
        <v>9742.42</v>
      </c>
      <c r="AF104" t="s">
        <v>182</v>
      </c>
      <c r="AG104" t="s">
        <v>185</v>
      </c>
      <c r="AI104" t="s">
        <v>186</v>
      </c>
      <c r="AJ104" t="s">
        <v>495</v>
      </c>
      <c r="AK104" t="s">
        <v>188</v>
      </c>
    </row>
    <row r="105" spans="1:37" x14ac:dyDescent="0.3">
      <c r="A105">
        <v>8008</v>
      </c>
      <c r="B105" s="207">
        <v>46121</v>
      </c>
      <c r="C105" t="s">
        <v>438</v>
      </c>
      <c r="D105" t="s">
        <v>496</v>
      </c>
      <c r="E105" t="s">
        <v>497</v>
      </c>
      <c r="F105" s="207">
        <v>48091</v>
      </c>
      <c r="G105">
        <v>2.5</v>
      </c>
      <c r="H105">
        <v>5929</v>
      </c>
      <c r="I105">
        <v>5557461</v>
      </c>
      <c r="J105">
        <v>3.7229999999999999</v>
      </c>
      <c r="K105">
        <v>9698</v>
      </c>
      <c r="L105">
        <v>5749944</v>
      </c>
      <c r="M105">
        <v>-47701</v>
      </c>
      <c r="N105">
        <v>240184</v>
      </c>
      <c r="O105">
        <v>41179</v>
      </c>
      <c r="P105">
        <v>104808</v>
      </c>
      <c r="Q105">
        <v>94197</v>
      </c>
      <c r="S105">
        <v>0</v>
      </c>
      <c r="T105">
        <v>20430</v>
      </c>
      <c r="U105">
        <v>2040</v>
      </c>
      <c r="V105">
        <v>5.3956</v>
      </c>
      <c r="W105">
        <v>5.2019000000000002</v>
      </c>
      <c r="X105">
        <v>32.000700000000002</v>
      </c>
      <c r="Z105">
        <v>9690.5400000000009</v>
      </c>
      <c r="AB105">
        <v>9695.66</v>
      </c>
      <c r="AD105">
        <v>9710.24</v>
      </c>
      <c r="AF105" t="s">
        <v>182</v>
      </c>
      <c r="AG105" t="s">
        <v>185</v>
      </c>
      <c r="AI105" t="s">
        <v>186</v>
      </c>
      <c r="AJ105" t="s">
        <v>498</v>
      </c>
      <c r="AK105" t="s">
        <v>188</v>
      </c>
    </row>
    <row r="106" spans="1:37" x14ac:dyDescent="0.3">
      <c r="A106">
        <v>8008</v>
      </c>
      <c r="B106" s="207">
        <v>46121</v>
      </c>
      <c r="C106" t="s">
        <v>438</v>
      </c>
      <c r="D106" t="s">
        <v>499</v>
      </c>
      <c r="E106" t="s">
        <v>500</v>
      </c>
      <c r="F106" s="207">
        <v>48213</v>
      </c>
      <c r="G106">
        <v>2.5</v>
      </c>
      <c r="H106">
        <v>9900</v>
      </c>
      <c r="I106">
        <v>8560272</v>
      </c>
      <c r="J106">
        <v>3.7450000000000001</v>
      </c>
      <c r="K106">
        <v>9569</v>
      </c>
      <c r="L106">
        <v>9473310</v>
      </c>
      <c r="M106">
        <v>596657</v>
      </c>
      <c r="N106">
        <v>316381</v>
      </c>
      <c r="O106">
        <v>22093</v>
      </c>
      <c r="P106">
        <v>0</v>
      </c>
      <c r="Q106">
        <v>294288</v>
      </c>
      <c r="S106">
        <v>0</v>
      </c>
      <c r="T106">
        <v>3090</v>
      </c>
      <c r="U106">
        <v>300</v>
      </c>
      <c r="V106">
        <v>5.7293666665999998</v>
      </c>
      <c r="W106">
        <v>5.5225333333000002</v>
      </c>
      <c r="X106">
        <v>35.760966666599998</v>
      </c>
      <c r="Z106">
        <v>9564.15</v>
      </c>
      <c r="AB106">
        <v>9561.57</v>
      </c>
      <c r="AD106">
        <v>9583.7199999999993</v>
      </c>
      <c r="AF106" t="s">
        <v>182</v>
      </c>
      <c r="AG106" t="s">
        <v>185</v>
      </c>
      <c r="AI106" t="s">
        <v>186</v>
      </c>
      <c r="AJ106" t="s">
        <v>501</v>
      </c>
      <c r="AK106" t="s">
        <v>188</v>
      </c>
    </row>
    <row r="107" spans="1:37" x14ac:dyDescent="0.3">
      <c r="A107">
        <v>8008</v>
      </c>
      <c r="B107" s="207">
        <v>46121</v>
      </c>
      <c r="C107" t="s">
        <v>438</v>
      </c>
      <c r="D107" t="s">
        <v>502</v>
      </c>
      <c r="E107" t="s">
        <v>503</v>
      </c>
      <c r="F107" s="207">
        <v>48273</v>
      </c>
      <c r="G107">
        <v>2.5</v>
      </c>
      <c r="H107">
        <v>313</v>
      </c>
      <c r="I107">
        <v>291408</v>
      </c>
      <c r="J107">
        <v>3.7589999999999999</v>
      </c>
      <c r="K107">
        <v>9506</v>
      </c>
      <c r="L107">
        <v>297537</v>
      </c>
      <c r="M107">
        <v>-2587</v>
      </c>
      <c r="N107">
        <v>8716</v>
      </c>
      <c r="O107">
        <v>3118</v>
      </c>
      <c r="P107">
        <v>0</v>
      </c>
      <c r="Q107">
        <v>5598</v>
      </c>
      <c r="S107">
        <v>0</v>
      </c>
      <c r="T107">
        <v>430</v>
      </c>
      <c r="U107">
        <v>40</v>
      </c>
      <c r="V107">
        <v>5.8898000000000001</v>
      </c>
      <c r="W107">
        <v>5.6764333333000003</v>
      </c>
      <c r="X107">
        <v>37.662533333299997</v>
      </c>
      <c r="Z107">
        <v>9498.24</v>
      </c>
      <c r="AB107">
        <v>9497.23</v>
      </c>
      <c r="AD107">
        <v>9523.6200000000008</v>
      </c>
      <c r="AF107" t="s">
        <v>182</v>
      </c>
      <c r="AG107" t="s">
        <v>185</v>
      </c>
      <c r="AI107" t="s">
        <v>186</v>
      </c>
      <c r="AJ107" t="s">
        <v>504</v>
      </c>
      <c r="AK107" t="s">
        <v>188</v>
      </c>
    </row>
    <row r="108" spans="1:37" x14ac:dyDescent="0.3">
      <c r="A108">
        <v>8008</v>
      </c>
      <c r="B108" s="207">
        <v>46121</v>
      </c>
      <c r="C108" t="s">
        <v>438</v>
      </c>
      <c r="D108" t="s">
        <v>505</v>
      </c>
      <c r="E108" t="s">
        <v>506</v>
      </c>
      <c r="F108" s="207">
        <v>48304</v>
      </c>
      <c r="G108">
        <v>2.5</v>
      </c>
      <c r="H108">
        <v>3</v>
      </c>
      <c r="I108">
        <v>2772</v>
      </c>
      <c r="J108">
        <v>3.7669999999999999</v>
      </c>
      <c r="K108">
        <v>9472</v>
      </c>
      <c r="L108">
        <v>2841</v>
      </c>
      <c r="M108">
        <v>-8</v>
      </c>
      <c r="N108">
        <v>77</v>
      </c>
      <c r="O108">
        <v>19</v>
      </c>
      <c r="P108">
        <v>0</v>
      </c>
      <c r="Q108">
        <v>58</v>
      </c>
      <c r="S108">
        <v>0</v>
      </c>
      <c r="T108">
        <v>0</v>
      </c>
      <c r="U108">
        <v>0</v>
      </c>
      <c r="V108">
        <v>5.9738333333</v>
      </c>
      <c r="W108">
        <v>5.7569666666000003</v>
      </c>
      <c r="X108">
        <v>38.6828</v>
      </c>
      <c r="Z108">
        <v>9462.8799999999992</v>
      </c>
      <c r="AB108">
        <v>9463.49</v>
      </c>
      <c r="AD108">
        <v>9491.7999999999993</v>
      </c>
      <c r="AF108" t="s">
        <v>182</v>
      </c>
      <c r="AG108" t="s">
        <v>185</v>
      </c>
      <c r="AI108" t="s">
        <v>186</v>
      </c>
      <c r="AJ108" t="s">
        <v>507</v>
      </c>
      <c r="AK108" t="s">
        <v>188</v>
      </c>
    </row>
    <row r="109" spans="1:37" x14ac:dyDescent="0.3">
      <c r="A109">
        <v>8008</v>
      </c>
      <c r="B109" s="207">
        <v>46121</v>
      </c>
      <c r="C109" t="s">
        <v>438</v>
      </c>
      <c r="D109" t="s">
        <v>508</v>
      </c>
      <c r="E109" t="s">
        <v>509</v>
      </c>
      <c r="F109" s="207">
        <v>48365</v>
      </c>
      <c r="G109">
        <v>2.5</v>
      </c>
      <c r="H109">
        <v>33791</v>
      </c>
      <c r="I109">
        <v>31363074</v>
      </c>
      <c r="J109">
        <v>3.7709999999999999</v>
      </c>
      <c r="K109">
        <v>9411</v>
      </c>
      <c r="L109">
        <v>31800709</v>
      </c>
      <c r="M109">
        <v>-287843</v>
      </c>
      <c r="N109">
        <v>725478</v>
      </c>
      <c r="O109">
        <v>230396</v>
      </c>
      <c r="P109">
        <v>422282</v>
      </c>
      <c r="Q109">
        <v>72800</v>
      </c>
      <c r="S109">
        <v>0</v>
      </c>
      <c r="T109">
        <v>91350</v>
      </c>
      <c r="U109">
        <v>9110</v>
      </c>
      <c r="V109">
        <v>6.1421666665999997</v>
      </c>
      <c r="W109">
        <v>5.9189333333</v>
      </c>
      <c r="X109">
        <v>40.699300000000001</v>
      </c>
      <c r="Z109">
        <v>9402.58</v>
      </c>
      <c r="AB109">
        <v>9402.64</v>
      </c>
      <c r="AD109">
        <v>9428.7800000000007</v>
      </c>
      <c r="AF109" t="s">
        <v>182</v>
      </c>
      <c r="AG109" t="s">
        <v>185</v>
      </c>
      <c r="AI109" t="s">
        <v>186</v>
      </c>
      <c r="AJ109" t="s">
        <v>510</v>
      </c>
      <c r="AK109" t="s">
        <v>188</v>
      </c>
    </row>
    <row r="110" spans="1:37" x14ac:dyDescent="0.3">
      <c r="A110">
        <v>8008</v>
      </c>
      <c r="B110" s="207">
        <v>46121</v>
      </c>
      <c r="C110" t="s">
        <v>438</v>
      </c>
      <c r="D110" t="s">
        <v>511</v>
      </c>
      <c r="E110" t="s">
        <v>512</v>
      </c>
      <c r="F110" s="207">
        <v>48395</v>
      </c>
      <c r="G110">
        <v>2.5</v>
      </c>
      <c r="H110">
        <v>4</v>
      </c>
      <c r="I110">
        <v>3711</v>
      </c>
      <c r="J110">
        <v>3.766</v>
      </c>
      <c r="K110">
        <v>9385</v>
      </c>
      <c r="L110">
        <v>3754</v>
      </c>
      <c r="M110">
        <v>-34</v>
      </c>
      <c r="N110">
        <v>77</v>
      </c>
      <c r="O110">
        <v>36</v>
      </c>
      <c r="P110">
        <v>0</v>
      </c>
      <c r="Q110">
        <v>41</v>
      </c>
      <c r="S110">
        <v>0</v>
      </c>
      <c r="T110">
        <v>0</v>
      </c>
      <c r="U110">
        <v>0</v>
      </c>
      <c r="V110">
        <v>6.2249999999999996</v>
      </c>
      <c r="W110">
        <v>5.9989999999999997</v>
      </c>
      <c r="X110">
        <v>41.714966666599999</v>
      </c>
      <c r="Z110">
        <v>9373.56</v>
      </c>
      <c r="AB110">
        <v>9384.32</v>
      </c>
      <c r="AD110">
        <v>9397.2199999999993</v>
      </c>
      <c r="AF110" t="s">
        <v>182</v>
      </c>
      <c r="AG110" t="s">
        <v>185</v>
      </c>
      <c r="AI110" t="s">
        <v>186</v>
      </c>
      <c r="AJ110" t="s">
        <v>513</v>
      </c>
      <c r="AK110" t="s">
        <v>188</v>
      </c>
    </row>
    <row r="111" spans="1:37" x14ac:dyDescent="0.3">
      <c r="A111">
        <v>8008</v>
      </c>
      <c r="B111" s="207">
        <v>46121</v>
      </c>
      <c r="C111" t="s">
        <v>438</v>
      </c>
      <c r="D111" t="s">
        <v>514</v>
      </c>
      <c r="E111" t="s">
        <v>515</v>
      </c>
      <c r="F111" s="207">
        <v>48426</v>
      </c>
      <c r="G111">
        <v>2.5</v>
      </c>
      <c r="H111">
        <v>1014</v>
      </c>
      <c r="I111">
        <v>939194</v>
      </c>
      <c r="J111">
        <v>3.7749999999999999</v>
      </c>
      <c r="K111">
        <v>9350</v>
      </c>
      <c r="L111">
        <v>948090</v>
      </c>
      <c r="M111">
        <v>-8608</v>
      </c>
      <c r="N111">
        <v>17504</v>
      </c>
      <c r="O111">
        <v>6885</v>
      </c>
      <c r="P111">
        <v>1178</v>
      </c>
      <c r="Q111">
        <v>9441</v>
      </c>
      <c r="S111">
        <v>0</v>
      </c>
      <c r="T111">
        <v>1120</v>
      </c>
      <c r="U111">
        <v>110</v>
      </c>
      <c r="V111">
        <v>6.3103999999999996</v>
      </c>
      <c r="W111">
        <v>6.0808</v>
      </c>
      <c r="X111">
        <v>42.769266666599997</v>
      </c>
      <c r="Z111">
        <v>9342.6200000000008</v>
      </c>
      <c r="AB111">
        <v>9342.68</v>
      </c>
      <c r="AD111">
        <v>9365.39</v>
      </c>
      <c r="AF111" t="s">
        <v>182</v>
      </c>
      <c r="AG111" t="s">
        <v>185</v>
      </c>
      <c r="AI111" t="s">
        <v>186</v>
      </c>
      <c r="AJ111" t="s">
        <v>516</v>
      </c>
      <c r="AK111" t="s">
        <v>188</v>
      </c>
    </row>
    <row r="112" spans="1:37" x14ac:dyDescent="0.3">
      <c r="A112">
        <v>8008</v>
      </c>
      <c r="B112" s="207">
        <v>46121</v>
      </c>
      <c r="C112" t="s">
        <v>438</v>
      </c>
      <c r="D112" t="s">
        <v>517</v>
      </c>
      <c r="E112" t="s">
        <v>518</v>
      </c>
      <c r="F112" s="207">
        <v>48457</v>
      </c>
      <c r="G112">
        <v>2.5</v>
      </c>
      <c r="H112">
        <v>31107</v>
      </c>
      <c r="I112">
        <v>28786532</v>
      </c>
      <c r="J112">
        <v>3.7770000000000001</v>
      </c>
      <c r="K112">
        <v>9319</v>
      </c>
      <c r="L112">
        <v>28988613</v>
      </c>
      <c r="M112">
        <v>-268625</v>
      </c>
      <c r="N112">
        <v>470706</v>
      </c>
      <c r="O112">
        <v>210400</v>
      </c>
      <c r="P112">
        <v>184563</v>
      </c>
      <c r="Q112">
        <v>75743</v>
      </c>
      <c r="S112">
        <v>0</v>
      </c>
      <c r="T112">
        <v>55280</v>
      </c>
      <c r="U112">
        <v>5520</v>
      </c>
      <c r="V112">
        <v>6.3956666666000004</v>
      </c>
      <c r="W112">
        <v>6.1628666666000003</v>
      </c>
      <c r="X112">
        <v>43.845199999999998</v>
      </c>
      <c r="Z112">
        <v>9313.57</v>
      </c>
      <c r="AB112">
        <v>9312.48</v>
      </c>
      <c r="AD112">
        <v>9333.1200000000008</v>
      </c>
      <c r="AF112" t="s">
        <v>182</v>
      </c>
      <c r="AG112" t="s">
        <v>185</v>
      </c>
      <c r="AI112" t="s">
        <v>186</v>
      </c>
      <c r="AJ112" t="s">
        <v>519</v>
      </c>
      <c r="AK112" t="s">
        <v>188</v>
      </c>
    </row>
    <row r="113" spans="1:37" x14ac:dyDescent="0.3">
      <c r="A113">
        <v>8008</v>
      </c>
      <c r="B113" s="207">
        <v>46121</v>
      </c>
      <c r="C113" t="s">
        <v>438</v>
      </c>
      <c r="D113" t="s">
        <v>520</v>
      </c>
      <c r="E113" t="s">
        <v>521</v>
      </c>
      <c r="F113" s="207">
        <v>48487</v>
      </c>
      <c r="G113">
        <v>2.5</v>
      </c>
      <c r="H113">
        <v>53712</v>
      </c>
      <c r="I113">
        <v>49661504</v>
      </c>
      <c r="J113">
        <v>3.778</v>
      </c>
      <c r="K113">
        <v>9290</v>
      </c>
      <c r="L113">
        <v>49898448</v>
      </c>
      <c r="M113">
        <v>-465271</v>
      </c>
      <c r="N113">
        <v>702215</v>
      </c>
      <c r="O113">
        <v>363218</v>
      </c>
      <c r="P113">
        <v>223310</v>
      </c>
      <c r="Q113">
        <v>115687</v>
      </c>
      <c r="S113">
        <v>0</v>
      </c>
      <c r="T113">
        <v>82100</v>
      </c>
      <c r="U113">
        <v>8200</v>
      </c>
      <c r="V113">
        <v>6.4779999999999998</v>
      </c>
      <c r="W113">
        <v>6.2421333333</v>
      </c>
      <c r="X113">
        <v>44.901533333300002</v>
      </c>
      <c r="Z113">
        <v>9285.66</v>
      </c>
      <c r="AB113">
        <v>9283.41</v>
      </c>
      <c r="AD113">
        <v>9302.5</v>
      </c>
      <c r="AF113" t="s">
        <v>182</v>
      </c>
      <c r="AG113" t="s">
        <v>185</v>
      </c>
      <c r="AI113" t="s">
        <v>186</v>
      </c>
      <c r="AJ113" t="s">
        <v>522</v>
      </c>
      <c r="AK113" t="s">
        <v>188</v>
      </c>
    </row>
    <row r="114" spans="1:37" x14ac:dyDescent="0.3">
      <c r="A114">
        <v>8008</v>
      </c>
      <c r="B114" s="207">
        <v>46121</v>
      </c>
      <c r="C114" t="s">
        <v>438</v>
      </c>
      <c r="D114" t="s">
        <v>523</v>
      </c>
      <c r="E114" t="s">
        <v>524</v>
      </c>
      <c r="F114" s="207">
        <v>48518</v>
      </c>
      <c r="G114">
        <v>2.5</v>
      </c>
      <c r="H114">
        <v>80260</v>
      </c>
      <c r="I114">
        <v>74135908</v>
      </c>
      <c r="J114">
        <v>3.78</v>
      </c>
      <c r="K114">
        <v>9260</v>
      </c>
      <c r="L114">
        <v>74320760</v>
      </c>
      <c r="M114">
        <v>-694102</v>
      </c>
      <c r="N114">
        <v>878954</v>
      </c>
      <c r="O114">
        <v>541607</v>
      </c>
      <c r="P114">
        <v>185173</v>
      </c>
      <c r="Q114">
        <v>152174</v>
      </c>
      <c r="S114">
        <v>0</v>
      </c>
      <c r="T114">
        <v>101740</v>
      </c>
      <c r="U114">
        <v>10170</v>
      </c>
      <c r="V114">
        <v>6.5628666665999997</v>
      </c>
      <c r="W114">
        <v>6.3238000000000003</v>
      </c>
      <c r="X114">
        <v>46.008099999999999</v>
      </c>
      <c r="Z114">
        <v>9256.41</v>
      </c>
      <c r="AB114">
        <v>9253.5499999999993</v>
      </c>
      <c r="AD114">
        <v>9271.07</v>
      </c>
      <c r="AF114" t="s">
        <v>182</v>
      </c>
      <c r="AG114" t="s">
        <v>185</v>
      </c>
      <c r="AI114" t="s">
        <v>186</v>
      </c>
      <c r="AJ114" t="s">
        <v>525</v>
      </c>
      <c r="AK114" t="s">
        <v>188</v>
      </c>
    </row>
    <row r="115" spans="1:37" x14ac:dyDescent="0.3">
      <c r="A115">
        <v>8008</v>
      </c>
      <c r="B115" s="207">
        <v>46121</v>
      </c>
      <c r="C115" t="s">
        <v>438</v>
      </c>
      <c r="D115" t="s">
        <v>526</v>
      </c>
      <c r="E115" t="s">
        <v>527</v>
      </c>
      <c r="F115" s="207">
        <v>48669</v>
      </c>
      <c r="G115">
        <v>2</v>
      </c>
      <c r="H115">
        <v>119248</v>
      </c>
      <c r="I115">
        <v>102895999</v>
      </c>
      <c r="J115">
        <v>3.7869999999999999</v>
      </c>
      <c r="K115">
        <v>8827</v>
      </c>
      <c r="L115">
        <v>105260209</v>
      </c>
      <c r="M115">
        <v>2299498</v>
      </c>
      <c r="N115">
        <v>64712</v>
      </c>
      <c r="O115">
        <v>62897</v>
      </c>
      <c r="P115">
        <v>0</v>
      </c>
      <c r="Q115">
        <v>1815</v>
      </c>
      <c r="S115">
        <v>0</v>
      </c>
      <c r="T115">
        <v>8790</v>
      </c>
      <c r="U115">
        <v>870</v>
      </c>
      <c r="V115">
        <v>6.9738333333</v>
      </c>
      <c r="W115">
        <v>6.7193333332999998</v>
      </c>
      <c r="X115">
        <v>51.615633333300003</v>
      </c>
      <c r="Z115">
        <v>8830.31</v>
      </c>
      <c r="AB115">
        <v>8823.23</v>
      </c>
      <c r="AD115">
        <v>8829.7199999999993</v>
      </c>
      <c r="AF115" t="s">
        <v>182</v>
      </c>
      <c r="AG115" t="s">
        <v>185</v>
      </c>
      <c r="AI115" t="s">
        <v>186</v>
      </c>
      <c r="AJ115" t="s">
        <v>528</v>
      </c>
      <c r="AK115" t="s">
        <v>188</v>
      </c>
    </row>
    <row r="116" spans="1:37" x14ac:dyDescent="0.3">
      <c r="A116">
        <v>8008</v>
      </c>
      <c r="B116" s="207">
        <v>46121</v>
      </c>
      <c r="C116" t="s">
        <v>438</v>
      </c>
      <c r="D116" t="s">
        <v>529</v>
      </c>
      <c r="E116" t="s">
        <v>530</v>
      </c>
      <c r="F116" s="207">
        <v>48699</v>
      </c>
      <c r="G116">
        <v>2</v>
      </c>
      <c r="H116">
        <v>189604</v>
      </c>
      <c r="I116">
        <v>165470857</v>
      </c>
      <c r="J116">
        <v>3.7919999999999998</v>
      </c>
      <c r="K116">
        <v>8798</v>
      </c>
      <c r="L116">
        <v>166813597</v>
      </c>
      <c r="M116">
        <v>1342740</v>
      </c>
      <c r="N116">
        <v>0</v>
      </c>
      <c r="O116">
        <v>0</v>
      </c>
      <c r="P116">
        <v>0</v>
      </c>
      <c r="Q116">
        <v>0</v>
      </c>
      <c r="S116">
        <v>0</v>
      </c>
      <c r="T116">
        <v>0</v>
      </c>
      <c r="U116">
        <v>0</v>
      </c>
      <c r="V116">
        <v>7.0563666665999998</v>
      </c>
      <c r="W116">
        <v>6.7985666666000002</v>
      </c>
      <c r="X116">
        <v>52.754033333300001</v>
      </c>
      <c r="Z116">
        <v>8799.66</v>
      </c>
      <c r="AB116">
        <v>8792.5</v>
      </c>
      <c r="AD116">
        <v>8802.0499999999993</v>
      </c>
      <c r="AF116" t="s">
        <v>182</v>
      </c>
      <c r="AG116" t="s">
        <v>185</v>
      </c>
      <c r="AI116" t="s">
        <v>186</v>
      </c>
      <c r="AJ116" t="s">
        <v>531</v>
      </c>
      <c r="AK116" t="s">
        <v>188</v>
      </c>
    </row>
    <row r="117" spans="1:37" x14ac:dyDescent="0.3">
      <c r="A117">
        <v>8008</v>
      </c>
      <c r="B117" s="207">
        <v>46121</v>
      </c>
      <c r="C117" t="s">
        <v>438</v>
      </c>
      <c r="D117" t="s">
        <v>532</v>
      </c>
      <c r="E117" t="s">
        <v>533</v>
      </c>
      <c r="F117" s="207">
        <v>46934</v>
      </c>
      <c r="G117">
        <v>1</v>
      </c>
      <c r="H117">
        <v>1215</v>
      </c>
      <c r="I117">
        <v>1151012</v>
      </c>
      <c r="J117">
        <v>3.3290000000000002</v>
      </c>
      <c r="K117">
        <v>9957</v>
      </c>
      <c r="L117">
        <v>1209775</v>
      </c>
      <c r="M117">
        <v>-397</v>
      </c>
      <c r="N117">
        <v>59160</v>
      </c>
      <c r="O117">
        <v>3434</v>
      </c>
      <c r="P117">
        <v>27525</v>
      </c>
      <c r="Q117">
        <v>28201</v>
      </c>
      <c r="S117">
        <v>0</v>
      </c>
      <c r="T117">
        <v>4330</v>
      </c>
      <c r="U117">
        <v>430</v>
      </c>
      <c r="V117">
        <v>2.2247333333000001</v>
      </c>
      <c r="W117">
        <v>2.1530333332999998</v>
      </c>
      <c r="X117">
        <v>6.6643333333000001</v>
      </c>
      <c r="Z117">
        <v>9955.52</v>
      </c>
      <c r="AB117">
        <v>9960.98</v>
      </c>
      <c r="AD117">
        <v>9955.52</v>
      </c>
      <c r="AF117" t="s">
        <v>182</v>
      </c>
      <c r="AG117" t="s">
        <v>185</v>
      </c>
      <c r="AI117" t="s">
        <v>186</v>
      </c>
      <c r="AJ117" t="s">
        <v>534</v>
      </c>
      <c r="AK117" t="s">
        <v>188</v>
      </c>
    </row>
    <row r="118" spans="1:37" x14ac:dyDescent="0.3">
      <c r="A118">
        <v>8008</v>
      </c>
      <c r="B118" s="207">
        <v>46121</v>
      </c>
      <c r="C118" t="s">
        <v>438</v>
      </c>
      <c r="D118" t="s">
        <v>535</v>
      </c>
      <c r="E118" t="s">
        <v>536</v>
      </c>
      <c r="F118" s="207">
        <v>47087</v>
      </c>
      <c r="G118">
        <v>1</v>
      </c>
      <c r="H118">
        <v>8</v>
      </c>
      <c r="I118">
        <v>7494</v>
      </c>
      <c r="J118">
        <v>3.4239999999999999</v>
      </c>
      <c r="K118">
        <v>9797</v>
      </c>
      <c r="L118">
        <v>7837</v>
      </c>
      <c r="M118">
        <v>-11</v>
      </c>
      <c r="N118">
        <v>354</v>
      </c>
      <c r="O118">
        <v>140</v>
      </c>
      <c r="P118">
        <v>0</v>
      </c>
      <c r="Q118">
        <v>214</v>
      </c>
      <c r="S118">
        <v>0</v>
      </c>
      <c r="T118">
        <v>10</v>
      </c>
      <c r="U118">
        <v>0</v>
      </c>
      <c r="V118">
        <v>2.6445666665999998</v>
      </c>
      <c r="W118">
        <v>2.5570333333000002</v>
      </c>
      <c r="X118">
        <v>8.9396666666000009</v>
      </c>
      <c r="Z118">
        <v>9796.02</v>
      </c>
      <c r="AB118">
        <v>9800.8799999999992</v>
      </c>
      <c r="AD118">
        <v>9795.77</v>
      </c>
      <c r="AF118" t="s">
        <v>182</v>
      </c>
      <c r="AG118" t="s">
        <v>185</v>
      </c>
      <c r="AI118" t="s">
        <v>186</v>
      </c>
      <c r="AJ118" t="s">
        <v>537</v>
      </c>
      <c r="AK118" t="s">
        <v>188</v>
      </c>
    </row>
    <row r="119" spans="1:37" x14ac:dyDescent="0.3">
      <c r="A119">
        <v>8008</v>
      </c>
      <c r="B119" s="207">
        <v>46121</v>
      </c>
      <c r="C119" t="s">
        <v>438</v>
      </c>
      <c r="D119" t="s">
        <v>538</v>
      </c>
      <c r="E119" t="s">
        <v>539</v>
      </c>
      <c r="F119" s="207">
        <v>47118</v>
      </c>
      <c r="G119">
        <v>1</v>
      </c>
      <c r="H119">
        <v>3000</v>
      </c>
      <c r="I119">
        <v>2592763</v>
      </c>
      <c r="J119">
        <v>3.4550000000000001</v>
      </c>
      <c r="K119">
        <v>9761</v>
      </c>
      <c r="L119">
        <v>2928300</v>
      </c>
      <c r="M119">
        <v>205203</v>
      </c>
      <c r="N119">
        <v>130334</v>
      </c>
      <c r="O119">
        <v>8097</v>
      </c>
      <c r="P119">
        <v>0</v>
      </c>
      <c r="Q119">
        <v>122237</v>
      </c>
      <c r="S119">
        <v>0</v>
      </c>
      <c r="T119">
        <v>1130</v>
      </c>
      <c r="U119">
        <v>110</v>
      </c>
      <c r="V119">
        <v>2.7291666665999998</v>
      </c>
      <c r="W119">
        <v>2.6379999999999999</v>
      </c>
      <c r="X119">
        <v>9.4481333332999995</v>
      </c>
      <c r="Z119">
        <v>9760.44</v>
      </c>
      <c r="AB119">
        <v>9764.66</v>
      </c>
      <c r="AD119">
        <v>9760.18</v>
      </c>
      <c r="AF119" t="s">
        <v>182</v>
      </c>
      <c r="AG119" t="s">
        <v>185</v>
      </c>
      <c r="AI119" t="s">
        <v>186</v>
      </c>
      <c r="AJ119" t="s">
        <v>540</v>
      </c>
      <c r="AK119" t="s">
        <v>188</v>
      </c>
    </row>
    <row r="120" spans="1:37" x14ac:dyDescent="0.3">
      <c r="A120">
        <v>8008</v>
      </c>
      <c r="B120" s="207">
        <v>46121</v>
      </c>
      <c r="C120" t="s">
        <v>438</v>
      </c>
      <c r="D120" t="s">
        <v>541</v>
      </c>
      <c r="E120" t="s">
        <v>542</v>
      </c>
      <c r="F120" s="207">
        <v>46873</v>
      </c>
      <c r="G120">
        <v>1</v>
      </c>
      <c r="H120">
        <v>70418</v>
      </c>
      <c r="I120">
        <v>67016388</v>
      </c>
      <c r="J120">
        <v>3.3050000000000002</v>
      </c>
      <c r="K120">
        <v>10017</v>
      </c>
      <c r="L120">
        <v>70537708</v>
      </c>
      <c r="M120">
        <v>-30362</v>
      </c>
      <c r="N120">
        <v>3551682</v>
      </c>
      <c r="O120">
        <v>199364</v>
      </c>
      <c r="P120">
        <v>2272781</v>
      </c>
      <c r="Q120">
        <v>1079537</v>
      </c>
      <c r="S120">
        <v>0</v>
      </c>
      <c r="T120">
        <v>346080</v>
      </c>
      <c r="U120">
        <v>34590</v>
      </c>
      <c r="V120">
        <v>2.0562666666</v>
      </c>
      <c r="W120">
        <v>1.9904999999999999</v>
      </c>
      <c r="X120">
        <v>5.8721666666000001</v>
      </c>
      <c r="Z120">
        <v>10014.94</v>
      </c>
      <c r="AB120">
        <v>10021.42</v>
      </c>
      <c r="AD120">
        <v>10016.14</v>
      </c>
      <c r="AF120" t="s">
        <v>182</v>
      </c>
      <c r="AG120" t="s">
        <v>185</v>
      </c>
      <c r="AI120" t="s">
        <v>186</v>
      </c>
      <c r="AJ120" t="s">
        <v>543</v>
      </c>
      <c r="AK120" t="s">
        <v>188</v>
      </c>
    </row>
    <row r="121" spans="1:37" x14ac:dyDescent="0.3">
      <c r="A121">
        <v>8008</v>
      </c>
      <c r="B121" s="207">
        <v>46121</v>
      </c>
      <c r="C121" t="s">
        <v>438</v>
      </c>
      <c r="D121" t="s">
        <v>544</v>
      </c>
      <c r="E121" t="s">
        <v>545</v>
      </c>
      <c r="F121" s="207">
        <v>46965</v>
      </c>
      <c r="G121">
        <v>1</v>
      </c>
      <c r="H121">
        <v>9774</v>
      </c>
      <c r="I121">
        <v>9238563</v>
      </c>
      <c r="J121">
        <v>3.3410000000000002</v>
      </c>
      <c r="K121">
        <v>9926</v>
      </c>
      <c r="L121">
        <v>9701672</v>
      </c>
      <c r="M121">
        <v>-4144</v>
      </c>
      <c r="N121">
        <v>467253</v>
      </c>
      <c r="O121">
        <v>27602</v>
      </c>
      <c r="P121">
        <v>428984</v>
      </c>
      <c r="Q121">
        <v>10667</v>
      </c>
      <c r="S121">
        <v>0</v>
      </c>
      <c r="T121">
        <v>63910</v>
      </c>
      <c r="U121">
        <v>6380</v>
      </c>
      <c r="V121">
        <v>2.3100999999999998</v>
      </c>
      <c r="W121">
        <v>2.2354333333</v>
      </c>
      <c r="X121">
        <v>7.0929333333000004</v>
      </c>
      <c r="Z121">
        <v>9925.58</v>
      </c>
      <c r="AB121">
        <v>9930.34</v>
      </c>
      <c r="AD121">
        <v>9924.69</v>
      </c>
      <c r="AF121" t="s">
        <v>182</v>
      </c>
      <c r="AG121" t="s">
        <v>185</v>
      </c>
      <c r="AI121" t="s">
        <v>186</v>
      </c>
      <c r="AJ121" t="s">
        <v>546</v>
      </c>
      <c r="AK121" t="s">
        <v>188</v>
      </c>
    </row>
    <row r="122" spans="1:37" x14ac:dyDescent="0.3">
      <c r="A122">
        <v>8008</v>
      </c>
      <c r="B122" s="207">
        <v>46121</v>
      </c>
      <c r="C122" t="s">
        <v>438</v>
      </c>
      <c r="D122" t="s">
        <v>547</v>
      </c>
      <c r="E122" t="s">
        <v>548</v>
      </c>
      <c r="F122" s="207">
        <v>46843</v>
      </c>
      <c r="G122">
        <v>1</v>
      </c>
      <c r="H122">
        <v>15845</v>
      </c>
      <c r="I122">
        <v>15113545</v>
      </c>
      <c r="J122">
        <v>3.29</v>
      </c>
      <c r="K122">
        <v>10047</v>
      </c>
      <c r="L122">
        <v>15919471</v>
      </c>
      <c r="M122">
        <v>-6669</v>
      </c>
      <c r="N122">
        <v>812595</v>
      </c>
      <c r="O122">
        <v>44697</v>
      </c>
      <c r="P122">
        <v>357753</v>
      </c>
      <c r="Q122">
        <v>410145</v>
      </c>
      <c r="S122">
        <v>0</v>
      </c>
      <c r="T122">
        <v>56340</v>
      </c>
      <c r="U122">
        <v>5630</v>
      </c>
      <c r="V122">
        <v>1.9737666666</v>
      </c>
      <c r="W122">
        <v>1.9109</v>
      </c>
      <c r="X122">
        <v>5.4935999999999998</v>
      </c>
      <c r="Z122">
        <v>10044.86</v>
      </c>
      <c r="AB122">
        <v>10051.1</v>
      </c>
      <c r="AD122">
        <v>10046.01</v>
      </c>
      <c r="AF122" t="s">
        <v>182</v>
      </c>
      <c r="AG122" t="s">
        <v>185</v>
      </c>
      <c r="AI122" t="s">
        <v>186</v>
      </c>
      <c r="AJ122" t="s">
        <v>549</v>
      </c>
      <c r="AK122" t="s">
        <v>188</v>
      </c>
    </row>
    <row r="123" spans="1:37" x14ac:dyDescent="0.3">
      <c r="A123">
        <v>8008</v>
      </c>
      <c r="B123" s="207">
        <v>46121</v>
      </c>
      <c r="C123" t="s">
        <v>438</v>
      </c>
      <c r="D123" t="s">
        <v>550</v>
      </c>
      <c r="E123" t="s">
        <v>551</v>
      </c>
      <c r="F123" s="207">
        <v>46812</v>
      </c>
      <c r="G123">
        <v>1</v>
      </c>
      <c r="H123">
        <v>18122</v>
      </c>
      <c r="I123">
        <v>17325547</v>
      </c>
      <c r="J123">
        <v>3.2709999999999999</v>
      </c>
      <c r="K123">
        <v>10078</v>
      </c>
      <c r="L123">
        <v>18263351</v>
      </c>
      <c r="M123">
        <v>-6955</v>
      </c>
      <c r="N123">
        <v>944759</v>
      </c>
      <c r="O123">
        <v>50448</v>
      </c>
      <c r="P123">
        <v>409577</v>
      </c>
      <c r="Q123">
        <v>484734</v>
      </c>
      <c r="S123">
        <v>0</v>
      </c>
      <c r="T123">
        <v>64390</v>
      </c>
      <c r="U123">
        <v>6430</v>
      </c>
      <c r="V123">
        <v>1.8896333332999999</v>
      </c>
      <c r="W123">
        <v>1.8297666666000001</v>
      </c>
      <c r="X123">
        <v>5.0894666665999999</v>
      </c>
      <c r="Z123">
        <v>10074.82</v>
      </c>
      <c r="AB123">
        <v>10082.11</v>
      </c>
      <c r="AD123">
        <v>10077.4</v>
      </c>
      <c r="AF123" t="s">
        <v>182</v>
      </c>
      <c r="AG123" t="s">
        <v>185</v>
      </c>
      <c r="AI123" t="s">
        <v>186</v>
      </c>
      <c r="AJ123" t="s">
        <v>552</v>
      </c>
      <c r="AK123" t="s">
        <v>188</v>
      </c>
    </row>
    <row r="124" spans="1:37" x14ac:dyDescent="0.3">
      <c r="A124">
        <v>8008</v>
      </c>
      <c r="B124" s="207">
        <v>46121</v>
      </c>
      <c r="C124" t="s">
        <v>438</v>
      </c>
      <c r="D124" t="s">
        <v>553</v>
      </c>
      <c r="E124" t="s">
        <v>554</v>
      </c>
      <c r="F124" s="207">
        <v>46568</v>
      </c>
      <c r="G124">
        <v>1</v>
      </c>
      <c r="H124">
        <v>3810</v>
      </c>
      <c r="I124">
        <v>3571748</v>
      </c>
      <c r="J124">
        <v>3.0779999999999998</v>
      </c>
      <c r="K124">
        <v>10319</v>
      </c>
      <c r="L124">
        <v>3931539</v>
      </c>
      <c r="M124">
        <v>135798</v>
      </c>
      <c r="N124">
        <v>223993</v>
      </c>
      <c r="O124">
        <v>2505</v>
      </c>
      <c r="P124">
        <v>0</v>
      </c>
      <c r="Q124">
        <v>221488</v>
      </c>
      <c r="S124">
        <v>0</v>
      </c>
      <c r="T124">
        <v>350</v>
      </c>
      <c r="U124">
        <v>30</v>
      </c>
      <c r="V124">
        <v>1.2245999999999999</v>
      </c>
      <c r="W124">
        <v>1.1880333332999999</v>
      </c>
      <c r="X124">
        <v>2.5088333333000001</v>
      </c>
      <c r="Z124">
        <v>10319.57</v>
      </c>
      <c r="AB124">
        <v>10320.040000000001</v>
      </c>
      <c r="AD124">
        <v>10319.57</v>
      </c>
      <c r="AF124" t="s">
        <v>182</v>
      </c>
      <c r="AG124" t="s">
        <v>185</v>
      </c>
      <c r="AI124" t="s">
        <v>186</v>
      </c>
      <c r="AJ124" t="s">
        <v>555</v>
      </c>
      <c r="AK124" t="s">
        <v>188</v>
      </c>
    </row>
    <row r="125" spans="1:37" x14ac:dyDescent="0.3">
      <c r="A125">
        <v>8008</v>
      </c>
      <c r="B125" s="207">
        <v>46121</v>
      </c>
      <c r="C125" t="s">
        <v>438</v>
      </c>
      <c r="D125" t="s">
        <v>556</v>
      </c>
      <c r="E125" t="s">
        <v>557</v>
      </c>
      <c r="F125" s="207">
        <v>46691</v>
      </c>
      <c r="G125">
        <v>1</v>
      </c>
      <c r="H125">
        <v>2</v>
      </c>
      <c r="I125">
        <v>1828</v>
      </c>
      <c r="J125">
        <v>3.1850000000000001</v>
      </c>
      <c r="K125">
        <v>10197</v>
      </c>
      <c r="L125">
        <v>2039</v>
      </c>
      <c r="M125">
        <v>101</v>
      </c>
      <c r="N125">
        <v>110</v>
      </c>
      <c r="O125">
        <v>5</v>
      </c>
      <c r="P125">
        <v>0</v>
      </c>
      <c r="Q125">
        <v>105</v>
      </c>
      <c r="S125">
        <v>0</v>
      </c>
      <c r="T125">
        <v>0</v>
      </c>
      <c r="U125">
        <v>0</v>
      </c>
      <c r="V125">
        <v>1.5623666666</v>
      </c>
      <c r="W125">
        <v>1.5141333333</v>
      </c>
      <c r="X125">
        <v>3.6831666666</v>
      </c>
      <c r="Z125">
        <v>10196.02</v>
      </c>
      <c r="AB125">
        <v>10200.14</v>
      </c>
      <c r="AD125">
        <v>10197.41</v>
      </c>
      <c r="AF125" t="s">
        <v>182</v>
      </c>
      <c r="AG125" t="s">
        <v>185</v>
      </c>
      <c r="AI125" t="s">
        <v>186</v>
      </c>
      <c r="AJ125" t="s">
        <v>558</v>
      </c>
      <c r="AK125" t="s">
        <v>188</v>
      </c>
    </row>
    <row r="126" spans="1:37" x14ac:dyDescent="0.3">
      <c r="A126">
        <v>8008</v>
      </c>
      <c r="B126" s="207">
        <v>46121</v>
      </c>
      <c r="C126" t="s">
        <v>438</v>
      </c>
      <c r="D126" t="s">
        <v>559</v>
      </c>
      <c r="E126" t="s">
        <v>560</v>
      </c>
      <c r="F126" s="207">
        <v>46752</v>
      </c>
      <c r="G126">
        <v>1</v>
      </c>
      <c r="H126">
        <v>50</v>
      </c>
      <c r="I126">
        <v>45736</v>
      </c>
      <c r="J126">
        <v>3.2290000000000001</v>
      </c>
      <c r="K126">
        <v>10137</v>
      </c>
      <c r="L126">
        <v>50685</v>
      </c>
      <c r="M126">
        <v>2262</v>
      </c>
      <c r="N126">
        <v>2687</v>
      </c>
      <c r="O126">
        <v>33</v>
      </c>
      <c r="P126">
        <v>0</v>
      </c>
      <c r="Q126">
        <v>2654</v>
      </c>
      <c r="S126">
        <v>0</v>
      </c>
      <c r="T126">
        <v>0</v>
      </c>
      <c r="U126">
        <v>0</v>
      </c>
      <c r="V126">
        <v>1.7290333333000001</v>
      </c>
      <c r="W126">
        <v>1.6749333333</v>
      </c>
      <c r="X126">
        <v>4.3666333333000003</v>
      </c>
      <c r="Z126">
        <v>10134.780000000001</v>
      </c>
      <c r="AB126">
        <v>10140.49</v>
      </c>
      <c r="AD126">
        <v>10136.82</v>
      </c>
      <c r="AF126" t="s">
        <v>182</v>
      </c>
      <c r="AG126" t="s">
        <v>185</v>
      </c>
      <c r="AI126" t="s">
        <v>186</v>
      </c>
      <c r="AJ126" t="s">
        <v>561</v>
      </c>
      <c r="AK126" t="s">
        <v>188</v>
      </c>
    </row>
    <row r="127" spans="1:37" x14ac:dyDescent="0.3">
      <c r="A127">
        <v>8008</v>
      </c>
      <c r="B127" s="207">
        <v>46121</v>
      </c>
      <c r="C127" t="s">
        <v>438</v>
      </c>
      <c r="D127" t="s">
        <v>562</v>
      </c>
      <c r="E127" t="s">
        <v>563</v>
      </c>
      <c r="F127" s="207">
        <v>46599</v>
      </c>
      <c r="G127">
        <v>1</v>
      </c>
      <c r="H127">
        <v>2635</v>
      </c>
      <c r="I127">
        <v>2554292</v>
      </c>
      <c r="J127">
        <v>3.1059999999999999</v>
      </c>
      <c r="K127">
        <v>10289</v>
      </c>
      <c r="L127">
        <v>2711151</v>
      </c>
      <c r="M127">
        <v>4183</v>
      </c>
      <c r="N127">
        <v>152676</v>
      </c>
      <c r="O127">
        <v>7147</v>
      </c>
      <c r="P127">
        <v>217</v>
      </c>
      <c r="Q127">
        <v>145312</v>
      </c>
      <c r="S127">
        <v>0</v>
      </c>
      <c r="T127">
        <v>1030</v>
      </c>
      <c r="U127">
        <v>100</v>
      </c>
      <c r="V127">
        <v>1.3099333333000001</v>
      </c>
      <c r="W127">
        <v>1.2705</v>
      </c>
      <c r="X127">
        <v>2.7788333333000002</v>
      </c>
      <c r="Z127">
        <v>10288.51</v>
      </c>
      <c r="AB127">
        <v>10290.049999999999</v>
      </c>
      <c r="AD127">
        <v>10289.17</v>
      </c>
      <c r="AF127" t="s">
        <v>182</v>
      </c>
      <c r="AG127" t="s">
        <v>185</v>
      </c>
      <c r="AI127" t="s">
        <v>186</v>
      </c>
      <c r="AJ127" t="s">
        <v>564</v>
      </c>
      <c r="AK127" t="s">
        <v>188</v>
      </c>
    </row>
    <row r="128" spans="1:37" x14ac:dyDescent="0.3">
      <c r="A128">
        <v>8008</v>
      </c>
      <c r="B128" s="207">
        <v>46121</v>
      </c>
      <c r="C128" t="s">
        <v>438</v>
      </c>
      <c r="D128" t="s">
        <v>565</v>
      </c>
      <c r="E128" t="s">
        <v>566</v>
      </c>
      <c r="F128" s="207">
        <v>46142</v>
      </c>
      <c r="G128">
        <v>1.05</v>
      </c>
      <c r="H128">
        <v>5644</v>
      </c>
      <c r="I128">
        <v>5615034</v>
      </c>
      <c r="J128">
        <v>2.637</v>
      </c>
      <c r="K128">
        <v>10520</v>
      </c>
      <c r="L128">
        <v>5937488</v>
      </c>
      <c r="M128">
        <v>23260</v>
      </c>
      <c r="N128">
        <v>299194</v>
      </c>
      <c r="O128">
        <v>16813</v>
      </c>
      <c r="P128">
        <v>22215</v>
      </c>
      <c r="Q128">
        <v>260166</v>
      </c>
      <c r="S128">
        <v>0</v>
      </c>
      <c r="T128">
        <v>5450</v>
      </c>
      <c r="U128">
        <v>530</v>
      </c>
      <c r="V128">
        <v>5.57E-2</v>
      </c>
      <c r="W128">
        <v>5.4699999999999999E-2</v>
      </c>
      <c r="X128">
        <v>3.9533333300000001E-2</v>
      </c>
      <c r="Z128">
        <v>10520.55</v>
      </c>
      <c r="AB128">
        <v>10521.14</v>
      </c>
      <c r="AD128">
        <v>10520.83</v>
      </c>
      <c r="AF128" t="s">
        <v>182</v>
      </c>
      <c r="AG128" t="s">
        <v>185</v>
      </c>
      <c r="AI128" t="s">
        <v>186</v>
      </c>
      <c r="AJ128" t="s">
        <v>567</v>
      </c>
      <c r="AK128" t="s">
        <v>188</v>
      </c>
    </row>
    <row r="129" spans="1:37" x14ac:dyDescent="0.3">
      <c r="A129">
        <v>8008</v>
      </c>
      <c r="B129" s="207">
        <v>46121</v>
      </c>
      <c r="C129" t="s">
        <v>438</v>
      </c>
      <c r="D129" t="s">
        <v>568</v>
      </c>
      <c r="E129" t="s">
        <v>569</v>
      </c>
      <c r="F129" s="207">
        <v>46173</v>
      </c>
      <c r="G129">
        <v>1.05</v>
      </c>
      <c r="H129">
        <v>14202</v>
      </c>
      <c r="I129">
        <v>14109671</v>
      </c>
      <c r="J129">
        <v>2.661</v>
      </c>
      <c r="K129">
        <v>10497</v>
      </c>
      <c r="L129">
        <v>14907838</v>
      </c>
      <c r="M129">
        <v>58564</v>
      </c>
      <c r="N129">
        <v>739603</v>
      </c>
      <c r="O129">
        <v>42270</v>
      </c>
      <c r="P129">
        <v>427472</v>
      </c>
      <c r="Q129">
        <v>269861</v>
      </c>
      <c r="S129">
        <v>0</v>
      </c>
      <c r="T129">
        <v>65740</v>
      </c>
      <c r="U129">
        <v>6550</v>
      </c>
      <c r="V129">
        <v>0.1406333333</v>
      </c>
      <c r="W129">
        <v>0.13800000000000001</v>
      </c>
      <c r="X129">
        <v>0.1147666666</v>
      </c>
      <c r="Z129">
        <v>10496.69</v>
      </c>
      <c r="AB129">
        <v>10497.5</v>
      </c>
      <c r="AD129">
        <v>10496.83</v>
      </c>
      <c r="AF129" t="s">
        <v>182</v>
      </c>
      <c r="AG129" t="s">
        <v>185</v>
      </c>
      <c r="AI129" t="s">
        <v>186</v>
      </c>
      <c r="AJ129" t="s">
        <v>570</v>
      </c>
      <c r="AK129" t="s">
        <v>188</v>
      </c>
    </row>
    <row r="130" spans="1:37" x14ac:dyDescent="0.3">
      <c r="A130">
        <v>8008</v>
      </c>
      <c r="B130" s="207">
        <v>46121</v>
      </c>
      <c r="C130" t="s">
        <v>438</v>
      </c>
      <c r="D130" t="s">
        <v>571</v>
      </c>
      <c r="E130" t="s">
        <v>572</v>
      </c>
      <c r="F130" s="207">
        <v>46203</v>
      </c>
      <c r="G130">
        <v>1.05</v>
      </c>
      <c r="H130">
        <v>11665</v>
      </c>
      <c r="I130">
        <v>11574004</v>
      </c>
      <c r="J130">
        <v>2.69</v>
      </c>
      <c r="K130">
        <v>10473</v>
      </c>
      <c r="L130">
        <v>12216754</v>
      </c>
      <c r="M130">
        <v>45798</v>
      </c>
      <c r="N130">
        <v>596952</v>
      </c>
      <c r="O130">
        <v>34690</v>
      </c>
      <c r="P130">
        <v>26905</v>
      </c>
      <c r="Q130">
        <v>535357</v>
      </c>
      <c r="S130">
        <v>0</v>
      </c>
      <c r="T130">
        <v>8610</v>
      </c>
      <c r="U130">
        <v>850</v>
      </c>
      <c r="V130">
        <v>0.22283333329999999</v>
      </c>
      <c r="W130">
        <v>0.2185</v>
      </c>
      <c r="X130">
        <v>0.2051</v>
      </c>
      <c r="Z130">
        <v>10473.31</v>
      </c>
      <c r="AB130">
        <v>10474.17</v>
      </c>
      <c r="AD130">
        <v>10473.06</v>
      </c>
      <c r="AF130" t="s">
        <v>182</v>
      </c>
      <c r="AG130" t="s">
        <v>185</v>
      </c>
      <c r="AI130" t="s">
        <v>186</v>
      </c>
      <c r="AJ130" t="s">
        <v>573</v>
      </c>
      <c r="AK130" t="s">
        <v>188</v>
      </c>
    </row>
    <row r="131" spans="1:37" x14ac:dyDescent="0.3">
      <c r="A131">
        <v>8008</v>
      </c>
      <c r="B131" s="207">
        <v>46121</v>
      </c>
      <c r="C131" t="s">
        <v>438</v>
      </c>
      <c r="D131" t="s">
        <v>574</v>
      </c>
      <c r="E131" t="s">
        <v>575</v>
      </c>
      <c r="F131" s="207">
        <v>46234</v>
      </c>
      <c r="G131">
        <v>1.05</v>
      </c>
      <c r="H131">
        <v>1960</v>
      </c>
      <c r="I131">
        <v>1941829</v>
      </c>
      <c r="J131">
        <v>2.7320000000000002</v>
      </c>
      <c r="K131">
        <v>10448</v>
      </c>
      <c r="L131">
        <v>2047808</v>
      </c>
      <c r="M131">
        <v>7504</v>
      </c>
      <c r="N131">
        <v>98475</v>
      </c>
      <c r="O131">
        <v>5824</v>
      </c>
      <c r="P131">
        <v>15926</v>
      </c>
      <c r="Q131">
        <v>76725</v>
      </c>
      <c r="S131">
        <v>0</v>
      </c>
      <c r="T131">
        <v>3030</v>
      </c>
      <c r="U131">
        <v>300</v>
      </c>
      <c r="V131">
        <v>0.30773333330000002</v>
      </c>
      <c r="W131">
        <v>0.30143333329999999</v>
      </c>
      <c r="X131">
        <v>0.31636666660000001</v>
      </c>
      <c r="Z131">
        <v>10447.86</v>
      </c>
      <c r="AB131">
        <v>10449.280000000001</v>
      </c>
      <c r="AD131">
        <v>10448.15</v>
      </c>
      <c r="AF131" t="s">
        <v>182</v>
      </c>
      <c r="AG131" t="s">
        <v>185</v>
      </c>
      <c r="AI131" t="s">
        <v>186</v>
      </c>
      <c r="AJ131" t="s">
        <v>576</v>
      </c>
      <c r="AK131" t="s">
        <v>188</v>
      </c>
    </row>
    <row r="132" spans="1:37" x14ac:dyDescent="0.3">
      <c r="A132">
        <v>8008</v>
      </c>
      <c r="B132" s="207">
        <v>46121</v>
      </c>
      <c r="C132" t="s">
        <v>438</v>
      </c>
      <c r="D132" t="s">
        <v>577</v>
      </c>
      <c r="E132" t="s">
        <v>578</v>
      </c>
      <c r="F132" s="207">
        <v>46265</v>
      </c>
      <c r="G132">
        <v>1.05</v>
      </c>
      <c r="H132">
        <v>54620</v>
      </c>
      <c r="I132">
        <v>54038696</v>
      </c>
      <c r="J132">
        <v>2.7730000000000001</v>
      </c>
      <c r="K132">
        <v>10422</v>
      </c>
      <c r="L132">
        <v>56924964</v>
      </c>
      <c r="M132">
        <v>192886</v>
      </c>
      <c r="N132">
        <v>2693382</v>
      </c>
      <c r="O132">
        <v>162145</v>
      </c>
      <c r="P132">
        <v>2478865</v>
      </c>
      <c r="Q132">
        <v>52372</v>
      </c>
      <c r="S132">
        <v>0</v>
      </c>
      <c r="T132">
        <v>369730</v>
      </c>
      <c r="U132">
        <v>36960</v>
      </c>
      <c r="V132">
        <v>0.39269999999999999</v>
      </c>
      <c r="W132">
        <v>0.38419999999999999</v>
      </c>
      <c r="X132">
        <v>0.44579999999999997</v>
      </c>
      <c r="Z132">
        <v>10421.75</v>
      </c>
      <c r="AB132">
        <v>10423.59</v>
      </c>
      <c r="AD132">
        <v>10423.040000000001</v>
      </c>
      <c r="AF132" t="s">
        <v>182</v>
      </c>
      <c r="AG132" t="s">
        <v>185</v>
      </c>
      <c r="AI132" t="s">
        <v>186</v>
      </c>
      <c r="AJ132" t="s">
        <v>579</v>
      </c>
      <c r="AK132" t="s">
        <v>188</v>
      </c>
    </row>
    <row r="133" spans="1:37" x14ac:dyDescent="0.3">
      <c r="A133">
        <v>8008</v>
      </c>
      <c r="B133" s="207">
        <v>46121</v>
      </c>
      <c r="C133" t="s">
        <v>438</v>
      </c>
      <c r="D133" t="s">
        <v>580</v>
      </c>
      <c r="E133" t="s">
        <v>581</v>
      </c>
      <c r="F133" s="207">
        <v>46295</v>
      </c>
      <c r="G133">
        <v>1.05</v>
      </c>
      <c r="H133">
        <v>35</v>
      </c>
      <c r="I133">
        <v>34575</v>
      </c>
      <c r="J133">
        <v>2.81</v>
      </c>
      <c r="K133">
        <v>10397</v>
      </c>
      <c r="L133">
        <v>36389</v>
      </c>
      <c r="M133">
        <v>120</v>
      </c>
      <c r="N133">
        <v>1694</v>
      </c>
      <c r="O133">
        <v>104</v>
      </c>
      <c r="P133">
        <v>1053</v>
      </c>
      <c r="Q133">
        <v>537</v>
      </c>
      <c r="S133">
        <v>0</v>
      </c>
      <c r="T133">
        <v>160</v>
      </c>
      <c r="U133">
        <v>10</v>
      </c>
      <c r="V133">
        <v>0.47489999999999999</v>
      </c>
      <c r="W133">
        <v>0.4641666666</v>
      </c>
      <c r="X133">
        <v>0.58816666660000005</v>
      </c>
      <c r="Z133">
        <v>10396.25</v>
      </c>
      <c r="AB133">
        <v>10398.09</v>
      </c>
      <c r="AD133">
        <v>10398.34</v>
      </c>
      <c r="AF133" t="s">
        <v>182</v>
      </c>
      <c r="AG133" t="s">
        <v>185</v>
      </c>
      <c r="AI133" t="s">
        <v>186</v>
      </c>
      <c r="AJ133" t="s">
        <v>582</v>
      </c>
      <c r="AK133" t="s">
        <v>188</v>
      </c>
    </row>
    <row r="134" spans="1:37" x14ac:dyDescent="0.3">
      <c r="A134">
        <v>8008</v>
      </c>
      <c r="B134" s="207">
        <v>46121</v>
      </c>
      <c r="C134" t="s">
        <v>438</v>
      </c>
      <c r="D134" t="s">
        <v>583</v>
      </c>
      <c r="E134" t="s">
        <v>584</v>
      </c>
      <c r="F134" s="207">
        <v>46538</v>
      </c>
      <c r="G134">
        <v>1.05</v>
      </c>
      <c r="H134">
        <v>13495</v>
      </c>
      <c r="I134">
        <v>13158974</v>
      </c>
      <c r="J134">
        <v>3.0489999999999999</v>
      </c>
      <c r="K134">
        <v>10180</v>
      </c>
      <c r="L134">
        <v>13737910</v>
      </c>
      <c r="M134">
        <v>23679</v>
      </c>
      <c r="N134">
        <v>555257</v>
      </c>
      <c r="O134">
        <v>39748</v>
      </c>
      <c r="P134">
        <v>92897</v>
      </c>
      <c r="Q134">
        <v>422612</v>
      </c>
      <c r="S134">
        <v>0</v>
      </c>
      <c r="T134">
        <v>18560</v>
      </c>
      <c r="U134">
        <v>1840</v>
      </c>
      <c r="V134">
        <v>1.1406333333000001</v>
      </c>
      <c r="W134">
        <v>1.1080666666000001</v>
      </c>
      <c r="X134">
        <v>2.2645333333000002</v>
      </c>
      <c r="Z134">
        <v>10181.450000000001</v>
      </c>
      <c r="AB134">
        <v>10180.68</v>
      </c>
      <c r="AD134">
        <v>10180.66</v>
      </c>
      <c r="AF134" t="s">
        <v>182</v>
      </c>
      <c r="AG134" t="s">
        <v>185</v>
      </c>
      <c r="AI134" t="s">
        <v>186</v>
      </c>
      <c r="AJ134" t="s">
        <v>585</v>
      </c>
      <c r="AK134" t="s">
        <v>188</v>
      </c>
    </row>
    <row r="135" spans="1:37" x14ac:dyDescent="0.3">
      <c r="A135">
        <v>8008</v>
      </c>
      <c r="B135" s="207">
        <v>46121</v>
      </c>
      <c r="C135" t="s">
        <v>438</v>
      </c>
      <c r="D135" t="s">
        <v>586</v>
      </c>
      <c r="E135" t="s">
        <v>587</v>
      </c>
      <c r="F135" s="207">
        <v>46630</v>
      </c>
      <c r="G135">
        <v>1.05</v>
      </c>
      <c r="H135">
        <v>345</v>
      </c>
      <c r="I135">
        <v>334591</v>
      </c>
      <c r="J135">
        <v>3.1349999999999998</v>
      </c>
      <c r="K135">
        <v>10091</v>
      </c>
      <c r="L135">
        <v>348139</v>
      </c>
      <c r="M135">
        <v>298</v>
      </c>
      <c r="N135">
        <v>13250</v>
      </c>
      <c r="O135">
        <v>1013</v>
      </c>
      <c r="P135">
        <v>62</v>
      </c>
      <c r="Q135">
        <v>12175</v>
      </c>
      <c r="S135">
        <v>0</v>
      </c>
      <c r="T135">
        <v>150</v>
      </c>
      <c r="U135">
        <v>10</v>
      </c>
      <c r="V135">
        <v>1.3927</v>
      </c>
      <c r="W135">
        <v>1.3527333333</v>
      </c>
      <c r="X135">
        <v>3.0663666666</v>
      </c>
      <c r="Z135">
        <v>10090.549999999999</v>
      </c>
      <c r="AB135">
        <v>10093.290000000001</v>
      </c>
      <c r="AD135">
        <v>10091.64</v>
      </c>
      <c r="AF135" t="s">
        <v>182</v>
      </c>
      <c r="AG135" t="s">
        <v>185</v>
      </c>
      <c r="AI135" t="s">
        <v>186</v>
      </c>
      <c r="AJ135" t="s">
        <v>588</v>
      </c>
      <c r="AK135" t="s">
        <v>188</v>
      </c>
    </row>
    <row r="136" spans="1:37" x14ac:dyDescent="0.3">
      <c r="A136">
        <v>8008</v>
      </c>
      <c r="B136" s="207">
        <v>46121</v>
      </c>
      <c r="C136" t="s">
        <v>438</v>
      </c>
      <c r="D136" t="s">
        <v>589</v>
      </c>
      <c r="E136" t="s">
        <v>590</v>
      </c>
      <c r="F136" s="207">
        <v>46752</v>
      </c>
      <c r="G136">
        <v>1.05</v>
      </c>
      <c r="H136">
        <v>9</v>
      </c>
      <c r="I136">
        <v>8666</v>
      </c>
      <c r="J136">
        <v>3.2290000000000001</v>
      </c>
      <c r="K136">
        <v>9972</v>
      </c>
      <c r="L136">
        <v>8974</v>
      </c>
      <c r="M136">
        <v>-5</v>
      </c>
      <c r="N136">
        <v>313</v>
      </c>
      <c r="O136">
        <v>27</v>
      </c>
      <c r="P136">
        <v>0</v>
      </c>
      <c r="Q136">
        <v>286</v>
      </c>
      <c r="S136">
        <v>0</v>
      </c>
      <c r="T136">
        <v>0</v>
      </c>
      <c r="U136">
        <v>0</v>
      </c>
      <c r="V136">
        <v>1.7269333333000001</v>
      </c>
      <c r="W136">
        <v>1.6749333333</v>
      </c>
      <c r="X136">
        <v>4.3666333333000003</v>
      </c>
      <c r="Z136">
        <v>9970.1299999999992</v>
      </c>
      <c r="AB136">
        <v>9975.7800000000007</v>
      </c>
      <c r="AD136">
        <v>9972.1299999999992</v>
      </c>
      <c r="AF136" t="s">
        <v>182</v>
      </c>
      <c r="AG136" t="s">
        <v>185</v>
      </c>
      <c r="AI136" t="s">
        <v>186</v>
      </c>
      <c r="AJ136" t="s">
        <v>591</v>
      </c>
      <c r="AK136" t="s">
        <v>188</v>
      </c>
    </row>
    <row r="137" spans="1:37" x14ac:dyDescent="0.3">
      <c r="A137">
        <v>8008</v>
      </c>
      <c r="B137" s="207">
        <v>46121</v>
      </c>
      <c r="C137" t="s">
        <v>438</v>
      </c>
      <c r="D137" t="s">
        <v>592</v>
      </c>
      <c r="E137" t="s">
        <v>593</v>
      </c>
      <c r="F137" s="207">
        <v>46783</v>
      </c>
      <c r="G137">
        <v>2.5</v>
      </c>
      <c r="H137">
        <v>17746</v>
      </c>
      <c r="I137">
        <v>17573737</v>
      </c>
      <c r="J137">
        <v>3.25</v>
      </c>
      <c r="K137">
        <v>10676</v>
      </c>
      <c r="L137">
        <v>18945629</v>
      </c>
      <c r="M137">
        <v>-82022</v>
      </c>
      <c r="N137">
        <v>1453914</v>
      </c>
      <c r="O137">
        <v>128161</v>
      </c>
      <c r="P137">
        <v>1072679</v>
      </c>
      <c r="Q137">
        <v>253074</v>
      </c>
      <c r="S137">
        <v>0</v>
      </c>
      <c r="T137">
        <v>168090</v>
      </c>
      <c r="U137">
        <v>16790</v>
      </c>
      <c r="V137">
        <v>1.8119000000000001</v>
      </c>
      <c r="W137">
        <v>1.7564333333</v>
      </c>
      <c r="X137">
        <v>4.7390333333000001</v>
      </c>
      <c r="Z137">
        <v>10673.66</v>
      </c>
      <c r="AB137">
        <v>10680.12</v>
      </c>
      <c r="AD137">
        <v>10675.72</v>
      </c>
      <c r="AF137" t="s">
        <v>182</v>
      </c>
      <c r="AG137" t="s">
        <v>185</v>
      </c>
      <c r="AI137" t="s">
        <v>186</v>
      </c>
      <c r="AJ137" t="s">
        <v>594</v>
      </c>
      <c r="AK137" t="s">
        <v>188</v>
      </c>
    </row>
    <row r="138" spans="1:37" x14ac:dyDescent="0.3">
      <c r="A138">
        <v>8008</v>
      </c>
      <c r="B138" s="207">
        <v>46121</v>
      </c>
      <c r="C138" t="s">
        <v>438</v>
      </c>
      <c r="D138" t="s">
        <v>595</v>
      </c>
      <c r="E138" t="s">
        <v>596</v>
      </c>
      <c r="F138" s="207">
        <v>46812</v>
      </c>
      <c r="G138">
        <v>2.5</v>
      </c>
      <c r="H138">
        <v>17938</v>
      </c>
      <c r="I138">
        <v>17748335</v>
      </c>
      <c r="J138">
        <v>3.2709999999999999</v>
      </c>
      <c r="K138">
        <v>10646</v>
      </c>
      <c r="L138">
        <v>19096793</v>
      </c>
      <c r="M138">
        <v>-84459</v>
      </c>
      <c r="N138">
        <v>1432917</v>
      </c>
      <c r="O138">
        <v>129304</v>
      </c>
      <c r="P138">
        <v>1005800</v>
      </c>
      <c r="Q138">
        <v>297813</v>
      </c>
      <c r="S138">
        <v>0</v>
      </c>
      <c r="T138">
        <v>158900</v>
      </c>
      <c r="U138">
        <v>15870</v>
      </c>
      <c r="V138">
        <v>1.8895</v>
      </c>
      <c r="W138">
        <v>1.8297666666000001</v>
      </c>
      <c r="X138">
        <v>5.0894666665999999</v>
      </c>
      <c r="Z138">
        <v>10643</v>
      </c>
      <c r="AB138">
        <v>10650.68</v>
      </c>
      <c r="AD138">
        <v>10645.73</v>
      </c>
      <c r="AF138" t="s">
        <v>182</v>
      </c>
      <c r="AG138" t="s">
        <v>185</v>
      </c>
      <c r="AI138" t="s">
        <v>186</v>
      </c>
      <c r="AJ138" t="s">
        <v>597</v>
      </c>
      <c r="AK138" t="s">
        <v>188</v>
      </c>
    </row>
    <row r="139" spans="1:37" x14ac:dyDescent="0.3">
      <c r="A139">
        <v>8008</v>
      </c>
      <c r="B139" s="207">
        <v>46121</v>
      </c>
      <c r="C139" t="s">
        <v>438</v>
      </c>
      <c r="D139" t="s">
        <v>598</v>
      </c>
      <c r="E139" t="s">
        <v>599</v>
      </c>
      <c r="F139" s="207">
        <v>46843</v>
      </c>
      <c r="G139">
        <v>2.5</v>
      </c>
      <c r="H139">
        <v>40775</v>
      </c>
      <c r="I139">
        <v>40300943</v>
      </c>
      <c r="J139">
        <v>3.29</v>
      </c>
      <c r="K139">
        <v>10613</v>
      </c>
      <c r="L139">
        <v>43274507</v>
      </c>
      <c r="M139">
        <v>-191363</v>
      </c>
      <c r="N139">
        <v>3164927</v>
      </c>
      <c r="O139">
        <v>293301</v>
      </c>
      <c r="P139">
        <v>1443826</v>
      </c>
      <c r="Q139">
        <v>1427800</v>
      </c>
      <c r="S139">
        <v>0</v>
      </c>
      <c r="T139">
        <v>243160</v>
      </c>
      <c r="U139">
        <v>24300</v>
      </c>
      <c r="V139">
        <v>1.9743999999999999</v>
      </c>
      <c r="W139">
        <v>1.9109</v>
      </c>
      <c r="X139">
        <v>5.4935999999999998</v>
      </c>
      <c r="Z139">
        <v>10611.35</v>
      </c>
      <c r="AB139">
        <v>10617.92</v>
      </c>
      <c r="AD139">
        <v>10612.57</v>
      </c>
      <c r="AF139" t="s">
        <v>182</v>
      </c>
      <c r="AG139" t="s">
        <v>185</v>
      </c>
      <c r="AI139" t="s">
        <v>186</v>
      </c>
      <c r="AJ139" t="s">
        <v>600</v>
      </c>
      <c r="AK139" t="s">
        <v>188</v>
      </c>
    </row>
    <row r="140" spans="1:37" x14ac:dyDescent="0.3">
      <c r="A140">
        <v>8008</v>
      </c>
      <c r="B140" s="207">
        <v>46121</v>
      </c>
      <c r="C140" t="s">
        <v>438</v>
      </c>
      <c r="D140" t="s">
        <v>601</v>
      </c>
      <c r="E140" t="s">
        <v>602</v>
      </c>
      <c r="F140" s="207">
        <v>46873</v>
      </c>
      <c r="G140">
        <v>2.5</v>
      </c>
      <c r="H140">
        <v>3226</v>
      </c>
      <c r="I140">
        <v>3185494</v>
      </c>
      <c r="J140">
        <v>3.3050000000000002</v>
      </c>
      <c r="K140">
        <v>10582</v>
      </c>
      <c r="L140">
        <v>3413753</v>
      </c>
      <c r="M140">
        <v>-15091</v>
      </c>
      <c r="N140">
        <v>243350</v>
      </c>
      <c r="O140">
        <v>23157</v>
      </c>
      <c r="P140">
        <v>171375</v>
      </c>
      <c r="Q140">
        <v>48818</v>
      </c>
      <c r="S140">
        <v>0</v>
      </c>
      <c r="T140">
        <v>27220</v>
      </c>
      <c r="U140">
        <v>2710</v>
      </c>
      <c r="V140">
        <v>2.0566</v>
      </c>
      <c r="W140">
        <v>1.9904999999999999</v>
      </c>
      <c r="X140">
        <v>5.8721666666000001</v>
      </c>
      <c r="Z140">
        <v>10579.74</v>
      </c>
      <c r="AB140">
        <v>10586.56</v>
      </c>
      <c r="AD140">
        <v>10581.01</v>
      </c>
      <c r="AF140" t="s">
        <v>182</v>
      </c>
      <c r="AG140" t="s">
        <v>185</v>
      </c>
      <c r="AI140" t="s">
        <v>186</v>
      </c>
      <c r="AJ140" t="s">
        <v>603</v>
      </c>
      <c r="AK140" t="s">
        <v>188</v>
      </c>
    </row>
    <row r="141" spans="1:37" x14ac:dyDescent="0.3">
      <c r="A141">
        <v>8008</v>
      </c>
      <c r="B141" s="207">
        <v>46121</v>
      </c>
      <c r="C141" t="s">
        <v>438</v>
      </c>
      <c r="D141" t="s">
        <v>604</v>
      </c>
      <c r="E141" t="s">
        <v>605</v>
      </c>
      <c r="F141" s="207">
        <v>47057</v>
      </c>
      <c r="G141">
        <v>2.5</v>
      </c>
      <c r="H141">
        <v>13476</v>
      </c>
      <c r="I141">
        <v>13226145</v>
      </c>
      <c r="J141">
        <v>3.3929999999999998</v>
      </c>
      <c r="K141">
        <v>10386</v>
      </c>
      <c r="L141">
        <v>13996173</v>
      </c>
      <c r="M141">
        <v>-67244</v>
      </c>
      <c r="N141">
        <v>837272</v>
      </c>
      <c r="O141">
        <v>95543</v>
      </c>
      <c r="P141">
        <v>692213</v>
      </c>
      <c r="Q141">
        <v>49516</v>
      </c>
      <c r="S141">
        <v>0</v>
      </c>
      <c r="T141">
        <v>110260</v>
      </c>
      <c r="U141">
        <v>11000</v>
      </c>
      <c r="V141">
        <v>2.5607000000000002</v>
      </c>
      <c r="W141">
        <v>2.4784666666000001</v>
      </c>
      <c r="X141">
        <v>8.4631333333000001</v>
      </c>
      <c r="Z141">
        <v>10385.35</v>
      </c>
      <c r="AB141">
        <v>10390.07</v>
      </c>
      <c r="AD141">
        <v>10384.06</v>
      </c>
      <c r="AF141" t="s">
        <v>182</v>
      </c>
      <c r="AG141" t="s">
        <v>185</v>
      </c>
      <c r="AI141" t="s">
        <v>186</v>
      </c>
      <c r="AJ141" t="s">
        <v>606</v>
      </c>
      <c r="AK141" t="s">
        <v>188</v>
      </c>
    </row>
    <row r="142" spans="1:37" x14ac:dyDescent="0.3">
      <c r="A142">
        <v>8008</v>
      </c>
      <c r="B142" s="207">
        <v>46121</v>
      </c>
      <c r="C142" t="s">
        <v>438</v>
      </c>
      <c r="D142" t="s">
        <v>607</v>
      </c>
      <c r="E142" t="s">
        <v>608</v>
      </c>
      <c r="F142" s="207">
        <v>47087</v>
      </c>
      <c r="G142">
        <v>2.5</v>
      </c>
      <c r="H142">
        <v>7139</v>
      </c>
      <c r="I142">
        <v>6999063</v>
      </c>
      <c r="J142">
        <v>3.4239999999999999</v>
      </c>
      <c r="K142">
        <v>10350</v>
      </c>
      <c r="L142">
        <v>7388865</v>
      </c>
      <c r="M142">
        <v>-38374</v>
      </c>
      <c r="N142">
        <v>428176</v>
      </c>
      <c r="O142">
        <v>50515</v>
      </c>
      <c r="P142">
        <v>271542</v>
      </c>
      <c r="Q142">
        <v>106119</v>
      </c>
      <c r="S142">
        <v>0</v>
      </c>
      <c r="T142">
        <v>45040</v>
      </c>
      <c r="U142">
        <v>4470</v>
      </c>
      <c r="V142">
        <v>2.6429</v>
      </c>
      <c r="W142">
        <v>2.5570333333000002</v>
      </c>
      <c r="X142">
        <v>8.9396666666000009</v>
      </c>
      <c r="Z142">
        <v>10348.48</v>
      </c>
      <c r="AB142">
        <v>10353.59</v>
      </c>
      <c r="AD142">
        <v>10348.209999999999</v>
      </c>
      <c r="AF142" t="s">
        <v>182</v>
      </c>
      <c r="AG142" t="s">
        <v>185</v>
      </c>
      <c r="AI142" t="s">
        <v>186</v>
      </c>
      <c r="AJ142" t="s">
        <v>609</v>
      </c>
      <c r="AK142" t="s">
        <v>188</v>
      </c>
    </row>
    <row r="143" spans="1:37" x14ac:dyDescent="0.3">
      <c r="A143">
        <v>8008</v>
      </c>
      <c r="B143" s="207">
        <v>46121</v>
      </c>
      <c r="C143" t="s">
        <v>438</v>
      </c>
      <c r="D143" t="s">
        <v>610</v>
      </c>
      <c r="E143" t="s">
        <v>611</v>
      </c>
      <c r="F143" s="207">
        <v>47483</v>
      </c>
      <c r="G143">
        <v>2.5</v>
      </c>
      <c r="H143">
        <v>35510</v>
      </c>
      <c r="I143">
        <v>34413829</v>
      </c>
      <c r="J143">
        <v>3.57</v>
      </c>
      <c r="K143">
        <v>9926</v>
      </c>
      <c r="L143">
        <v>35247225</v>
      </c>
      <c r="M143">
        <v>-301422</v>
      </c>
      <c r="N143">
        <v>1134818</v>
      </c>
      <c r="O143">
        <v>244606</v>
      </c>
      <c r="P143">
        <v>606368</v>
      </c>
      <c r="Q143">
        <v>283844</v>
      </c>
      <c r="S143">
        <v>0</v>
      </c>
      <c r="T143">
        <v>119120</v>
      </c>
      <c r="U143">
        <v>11900</v>
      </c>
      <c r="V143">
        <v>3.7278666666000002</v>
      </c>
      <c r="W143">
        <v>3.6006666666</v>
      </c>
      <c r="X143">
        <v>16.380533333300001</v>
      </c>
      <c r="Z143">
        <v>9921.9599999999991</v>
      </c>
      <c r="AB143">
        <v>9932.41</v>
      </c>
      <c r="AD143">
        <v>9924.82</v>
      </c>
      <c r="AF143" t="s">
        <v>182</v>
      </c>
      <c r="AG143" t="s">
        <v>185</v>
      </c>
      <c r="AI143" t="s">
        <v>186</v>
      </c>
      <c r="AJ143" t="s">
        <v>612</v>
      </c>
      <c r="AK143" t="s">
        <v>188</v>
      </c>
    </row>
    <row r="144" spans="1:37" x14ac:dyDescent="0.3">
      <c r="A144">
        <v>8008</v>
      </c>
      <c r="B144" s="207">
        <v>46121</v>
      </c>
      <c r="C144" t="s">
        <v>438</v>
      </c>
      <c r="D144" t="s">
        <v>613</v>
      </c>
      <c r="E144" t="s">
        <v>614</v>
      </c>
      <c r="F144" s="207">
        <v>47514</v>
      </c>
      <c r="G144">
        <v>2.5</v>
      </c>
      <c r="H144">
        <v>11690</v>
      </c>
      <c r="I144">
        <v>11315665</v>
      </c>
      <c r="J144">
        <v>3.5739999999999998</v>
      </c>
      <c r="K144">
        <v>9895</v>
      </c>
      <c r="L144">
        <v>11567254</v>
      </c>
      <c r="M144">
        <v>-96722</v>
      </c>
      <c r="N144">
        <v>348311</v>
      </c>
      <c r="O144">
        <v>80356</v>
      </c>
      <c r="P144">
        <v>230372</v>
      </c>
      <c r="Q144">
        <v>37583</v>
      </c>
      <c r="S144">
        <v>0</v>
      </c>
      <c r="T144">
        <v>43490</v>
      </c>
      <c r="U144">
        <v>4340</v>
      </c>
      <c r="V144">
        <v>3.8128000000000002</v>
      </c>
      <c r="W144">
        <v>3.6819999999999999</v>
      </c>
      <c r="X144">
        <v>17.0657</v>
      </c>
      <c r="Z144">
        <v>9889.7000000000007</v>
      </c>
      <c r="AB144">
        <v>9902.9</v>
      </c>
      <c r="AD144">
        <v>9894.7999999999993</v>
      </c>
      <c r="AF144" t="s">
        <v>182</v>
      </c>
      <c r="AG144" t="s">
        <v>185</v>
      </c>
      <c r="AI144" t="s">
        <v>186</v>
      </c>
      <c r="AJ144" t="s">
        <v>615</v>
      </c>
      <c r="AK144" t="s">
        <v>188</v>
      </c>
    </row>
    <row r="145" spans="1:37" x14ac:dyDescent="0.3">
      <c r="A145">
        <v>8008</v>
      </c>
      <c r="B145" s="207">
        <v>46121</v>
      </c>
      <c r="C145" t="s">
        <v>438</v>
      </c>
      <c r="D145" t="s">
        <v>616</v>
      </c>
      <c r="E145" t="s">
        <v>617</v>
      </c>
      <c r="F145" s="207">
        <v>47542</v>
      </c>
      <c r="G145">
        <v>2.5</v>
      </c>
      <c r="H145">
        <v>49369</v>
      </c>
      <c r="I145">
        <v>47730640</v>
      </c>
      <c r="J145">
        <v>3.577</v>
      </c>
      <c r="K145">
        <v>9868</v>
      </c>
      <c r="L145">
        <v>48717328</v>
      </c>
      <c r="M145">
        <v>-388088</v>
      </c>
      <c r="N145">
        <v>1374776</v>
      </c>
      <c r="O145">
        <v>338719</v>
      </c>
      <c r="P145">
        <v>853562</v>
      </c>
      <c r="Q145">
        <v>182495</v>
      </c>
      <c r="S145">
        <v>0</v>
      </c>
      <c r="T145">
        <v>166900</v>
      </c>
      <c r="U145">
        <v>16670</v>
      </c>
      <c r="V145">
        <v>3.8895</v>
      </c>
      <c r="W145">
        <v>3.7553666666000001</v>
      </c>
      <c r="X145">
        <v>17.698599999999999</v>
      </c>
      <c r="Z145">
        <v>9861.08</v>
      </c>
      <c r="AB145">
        <v>9876.7199999999993</v>
      </c>
      <c r="AD145">
        <v>9867.75</v>
      </c>
      <c r="AF145" t="s">
        <v>182</v>
      </c>
      <c r="AG145" t="s">
        <v>185</v>
      </c>
      <c r="AI145" t="s">
        <v>186</v>
      </c>
      <c r="AJ145" t="s">
        <v>618</v>
      </c>
      <c r="AK145" t="s">
        <v>188</v>
      </c>
    </row>
    <row r="146" spans="1:37" x14ac:dyDescent="0.3">
      <c r="A146">
        <v>8008</v>
      </c>
      <c r="B146" s="207">
        <v>46121</v>
      </c>
      <c r="C146" t="s">
        <v>438</v>
      </c>
      <c r="D146" t="s">
        <v>619</v>
      </c>
      <c r="E146" t="s">
        <v>620</v>
      </c>
      <c r="F146" s="207">
        <v>46326</v>
      </c>
      <c r="G146">
        <v>1.05</v>
      </c>
      <c r="H146">
        <v>6479</v>
      </c>
      <c r="I146">
        <v>6391421</v>
      </c>
      <c r="J146">
        <v>2.835</v>
      </c>
      <c r="K146">
        <v>10371</v>
      </c>
      <c r="L146">
        <v>6719369</v>
      </c>
      <c r="M146">
        <v>20320</v>
      </c>
      <c r="N146">
        <v>307628</v>
      </c>
      <c r="O146">
        <v>19200</v>
      </c>
      <c r="P146">
        <v>256835</v>
      </c>
      <c r="Q146">
        <v>31593</v>
      </c>
      <c r="S146">
        <v>0</v>
      </c>
      <c r="T146">
        <v>38620</v>
      </c>
      <c r="U146">
        <v>3820</v>
      </c>
      <c r="V146">
        <v>0.55979999999999996</v>
      </c>
      <c r="W146">
        <v>0.54663333329999997</v>
      </c>
      <c r="X146">
        <v>0.75286666660000001</v>
      </c>
      <c r="Z146">
        <v>10370.69</v>
      </c>
      <c r="AB146">
        <v>10372.08</v>
      </c>
      <c r="AD146">
        <v>10372.34</v>
      </c>
      <c r="AF146" t="s">
        <v>182</v>
      </c>
      <c r="AG146" t="s">
        <v>185</v>
      </c>
      <c r="AI146" t="s">
        <v>186</v>
      </c>
      <c r="AJ146" t="s">
        <v>621</v>
      </c>
      <c r="AK146" t="s">
        <v>188</v>
      </c>
    </row>
    <row r="147" spans="1:37" x14ac:dyDescent="0.3">
      <c r="A147">
        <v>8008</v>
      </c>
      <c r="B147" s="207">
        <v>46121</v>
      </c>
      <c r="C147" t="s">
        <v>438</v>
      </c>
      <c r="D147" t="s">
        <v>622</v>
      </c>
      <c r="E147" t="s">
        <v>623</v>
      </c>
      <c r="F147" s="207">
        <v>46356</v>
      </c>
      <c r="G147">
        <v>1.05</v>
      </c>
      <c r="H147">
        <v>1000</v>
      </c>
      <c r="I147">
        <v>984980</v>
      </c>
      <c r="J147">
        <v>2.8540000000000001</v>
      </c>
      <c r="K147">
        <v>10346</v>
      </c>
      <c r="L147">
        <v>1034600</v>
      </c>
      <c r="M147">
        <v>3040</v>
      </c>
      <c r="N147">
        <v>46580</v>
      </c>
      <c r="O147">
        <v>2960</v>
      </c>
      <c r="P147">
        <v>27531</v>
      </c>
      <c r="Q147">
        <v>16089</v>
      </c>
      <c r="S147">
        <v>0</v>
      </c>
      <c r="T147">
        <v>4260</v>
      </c>
      <c r="U147">
        <v>420</v>
      </c>
      <c r="V147">
        <v>0.64200000000000002</v>
      </c>
      <c r="W147">
        <v>0.62626666659999997</v>
      </c>
      <c r="X147">
        <v>0.92920000000000003</v>
      </c>
      <c r="Z147">
        <v>10346.290000000001</v>
      </c>
      <c r="AB147">
        <v>10347.15</v>
      </c>
      <c r="AD147">
        <v>10346.75</v>
      </c>
      <c r="AF147" t="s">
        <v>182</v>
      </c>
      <c r="AG147" t="s">
        <v>185</v>
      </c>
      <c r="AI147" t="s">
        <v>186</v>
      </c>
      <c r="AJ147" t="s">
        <v>624</v>
      </c>
      <c r="AK147" t="s">
        <v>188</v>
      </c>
    </row>
    <row r="148" spans="1:37" x14ac:dyDescent="0.3">
      <c r="A148">
        <v>8008</v>
      </c>
      <c r="B148" s="207">
        <v>46121</v>
      </c>
      <c r="C148" t="s">
        <v>438</v>
      </c>
      <c r="D148" t="s">
        <v>625</v>
      </c>
      <c r="E148" t="s">
        <v>626</v>
      </c>
      <c r="F148" s="207">
        <v>46387</v>
      </c>
      <c r="G148">
        <v>1.05</v>
      </c>
      <c r="H148">
        <v>5650</v>
      </c>
      <c r="I148">
        <v>5556798</v>
      </c>
      <c r="J148">
        <v>2.879</v>
      </c>
      <c r="K148">
        <v>10320</v>
      </c>
      <c r="L148">
        <v>5830800</v>
      </c>
      <c r="M148">
        <v>16056</v>
      </c>
      <c r="N148">
        <v>257946</v>
      </c>
      <c r="O148">
        <v>16714</v>
      </c>
      <c r="P148">
        <v>1012</v>
      </c>
      <c r="Q148">
        <v>240220</v>
      </c>
      <c r="S148">
        <v>0</v>
      </c>
      <c r="T148">
        <v>2480</v>
      </c>
      <c r="U148">
        <v>240</v>
      </c>
      <c r="V148">
        <v>0.72693333329999998</v>
      </c>
      <c r="W148">
        <v>0.70840000000000003</v>
      </c>
      <c r="X148">
        <v>1.1285666666</v>
      </c>
      <c r="Z148">
        <v>10319.76</v>
      </c>
      <c r="AB148">
        <v>10321.15</v>
      </c>
      <c r="AD148">
        <v>10319.91</v>
      </c>
      <c r="AF148" t="s">
        <v>182</v>
      </c>
      <c r="AG148" t="s">
        <v>185</v>
      </c>
      <c r="AI148" t="s">
        <v>186</v>
      </c>
      <c r="AJ148" t="s">
        <v>627</v>
      </c>
      <c r="AK148" t="s">
        <v>188</v>
      </c>
    </row>
    <row r="149" spans="1:37" x14ac:dyDescent="0.3">
      <c r="A149">
        <v>8008</v>
      </c>
      <c r="B149" s="207">
        <v>46121</v>
      </c>
      <c r="C149" t="s">
        <v>438</v>
      </c>
      <c r="D149" t="s">
        <v>628</v>
      </c>
      <c r="E149" t="s">
        <v>629</v>
      </c>
      <c r="F149" s="207">
        <v>46446</v>
      </c>
      <c r="G149">
        <v>1.05</v>
      </c>
      <c r="H149">
        <v>9900</v>
      </c>
      <c r="I149">
        <v>9704605</v>
      </c>
      <c r="J149">
        <v>2.9510000000000001</v>
      </c>
      <c r="K149">
        <v>10267</v>
      </c>
      <c r="L149">
        <v>10164330</v>
      </c>
      <c r="M149">
        <v>25212</v>
      </c>
      <c r="N149">
        <v>434513</v>
      </c>
      <c r="O149">
        <v>29238</v>
      </c>
      <c r="P149">
        <v>396205</v>
      </c>
      <c r="Q149">
        <v>9070</v>
      </c>
      <c r="S149">
        <v>0</v>
      </c>
      <c r="T149">
        <v>59560</v>
      </c>
      <c r="U149">
        <v>5950</v>
      </c>
      <c r="V149">
        <v>0.88859999999999995</v>
      </c>
      <c r="W149">
        <v>0.86403333329999998</v>
      </c>
      <c r="X149">
        <v>1.5551999999999999</v>
      </c>
      <c r="Z149">
        <v>10266.959999999999</v>
      </c>
      <c r="AB149">
        <v>10267.450000000001</v>
      </c>
      <c r="AD149">
        <v>10266.780000000001</v>
      </c>
      <c r="AF149" t="s">
        <v>182</v>
      </c>
      <c r="AG149" t="s">
        <v>185</v>
      </c>
      <c r="AI149" t="s">
        <v>186</v>
      </c>
      <c r="AJ149" t="s">
        <v>630</v>
      </c>
      <c r="AK149" t="s">
        <v>188</v>
      </c>
    </row>
    <row r="150" spans="1:37" x14ac:dyDescent="0.3">
      <c r="A150">
        <v>8008</v>
      </c>
      <c r="B150" s="207">
        <v>46121</v>
      </c>
      <c r="C150" t="s">
        <v>438</v>
      </c>
      <c r="D150" t="s">
        <v>631</v>
      </c>
      <c r="E150" t="s">
        <v>632</v>
      </c>
      <c r="F150" s="207">
        <v>46477</v>
      </c>
      <c r="G150">
        <v>1.05</v>
      </c>
      <c r="H150">
        <v>20050</v>
      </c>
      <c r="I150">
        <v>19620652</v>
      </c>
      <c r="J150">
        <v>2.9889999999999999</v>
      </c>
      <c r="K150">
        <v>10238</v>
      </c>
      <c r="L150">
        <v>20527190</v>
      </c>
      <c r="M150">
        <v>45099</v>
      </c>
      <c r="N150">
        <v>861439</v>
      </c>
      <c r="O150">
        <v>59161</v>
      </c>
      <c r="P150">
        <v>3970</v>
      </c>
      <c r="Q150">
        <v>798308</v>
      </c>
      <c r="S150">
        <v>0</v>
      </c>
      <c r="T150">
        <v>8830</v>
      </c>
      <c r="U150">
        <v>870</v>
      </c>
      <c r="V150">
        <v>0.97350000000000003</v>
      </c>
      <c r="W150">
        <v>0.94550000000000001</v>
      </c>
      <c r="X150">
        <v>1.8039000000000001</v>
      </c>
      <c r="Z150">
        <v>10239.23</v>
      </c>
      <c r="AB150">
        <v>10237.719999999999</v>
      </c>
      <c r="AD150">
        <v>10238.06</v>
      </c>
      <c r="AF150" t="s">
        <v>182</v>
      </c>
      <c r="AG150" t="s">
        <v>185</v>
      </c>
      <c r="AI150" t="s">
        <v>186</v>
      </c>
      <c r="AJ150" t="s">
        <v>633</v>
      </c>
      <c r="AK150" t="s">
        <v>188</v>
      </c>
    </row>
    <row r="151" spans="1:37" x14ac:dyDescent="0.3">
      <c r="A151">
        <v>8008</v>
      </c>
      <c r="B151" s="207">
        <v>46121</v>
      </c>
      <c r="C151" t="s">
        <v>438</v>
      </c>
      <c r="D151" t="s">
        <v>634</v>
      </c>
      <c r="E151" t="s">
        <v>635</v>
      </c>
      <c r="F151" s="207">
        <v>46507</v>
      </c>
      <c r="G151">
        <v>1.05</v>
      </c>
      <c r="H151">
        <v>91</v>
      </c>
      <c r="I151">
        <v>88897</v>
      </c>
      <c r="J151">
        <v>3.02</v>
      </c>
      <c r="K151">
        <v>10210</v>
      </c>
      <c r="L151">
        <v>92911</v>
      </c>
      <c r="M151">
        <v>187</v>
      </c>
      <c r="N151">
        <v>3827</v>
      </c>
      <c r="O151">
        <v>268</v>
      </c>
      <c r="P151">
        <v>600</v>
      </c>
      <c r="Q151">
        <v>2959</v>
      </c>
      <c r="S151">
        <v>0</v>
      </c>
      <c r="T151">
        <v>100</v>
      </c>
      <c r="U151">
        <v>0</v>
      </c>
      <c r="V151">
        <v>1.0557000000000001</v>
      </c>
      <c r="W151">
        <v>1.0252666666000001</v>
      </c>
      <c r="X151">
        <v>2.0296666665999998</v>
      </c>
      <c r="Z151">
        <v>10210.969999999999</v>
      </c>
      <c r="AB151">
        <v>10209.64</v>
      </c>
      <c r="AD151">
        <v>10210.030000000001</v>
      </c>
      <c r="AF151" t="s">
        <v>182</v>
      </c>
      <c r="AG151" t="s">
        <v>185</v>
      </c>
      <c r="AI151" t="s">
        <v>186</v>
      </c>
      <c r="AJ151" t="s">
        <v>636</v>
      </c>
      <c r="AK151" t="s">
        <v>188</v>
      </c>
    </row>
    <row r="152" spans="1:37" x14ac:dyDescent="0.3">
      <c r="A152">
        <v>8008</v>
      </c>
      <c r="B152" s="207">
        <v>46121</v>
      </c>
      <c r="C152" t="s">
        <v>438</v>
      </c>
      <c r="D152" t="s">
        <v>637</v>
      </c>
      <c r="E152" t="s">
        <v>638</v>
      </c>
      <c r="F152" s="207">
        <v>46568</v>
      </c>
      <c r="G152">
        <v>1.05</v>
      </c>
      <c r="H152">
        <v>43842</v>
      </c>
      <c r="I152">
        <v>42055177</v>
      </c>
      <c r="J152">
        <v>3.0779999999999998</v>
      </c>
      <c r="K152">
        <v>10152</v>
      </c>
      <c r="L152">
        <v>44508398</v>
      </c>
      <c r="M152">
        <v>688493</v>
      </c>
      <c r="N152">
        <v>1764728</v>
      </c>
      <c r="O152">
        <v>123680</v>
      </c>
      <c r="P152">
        <v>230561</v>
      </c>
      <c r="Q152">
        <v>1410487</v>
      </c>
      <c r="S152">
        <v>0</v>
      </c>
      <c r="T152">
        <v>49570</v>
      </c>
      <c r="U152">
        <v>4930</v>
      </c>
      <c r="V152">
        <v>1.2228333333000001</v>
      </c>
      <c r="W152">
        <v>1.1880333332999999</v>
      </c>
      <c r="X152">
        <v>2.5088333333000001</v>
      </c>
      <c r="Z152">
        <v>10151.92</v>
      </c>
      <c r="AB152">
        <v>10152.41</v>
      </c>
      <c r="AD152">
        <v>10151.92</v>
      </c>
      <c r="AF152" t="s">
        <v>182</v>
      </c>
      <c r="AG152" t="s">
        <v>185</v>
      </c>
      <c r="AI152" t="s">
        <v>186</v>
      </c>
      <c r="AJ152" t="s">
        <v>639</v>
      </c>
      <c r="AK152" t="s">
        <v>188</v>
      </c>
    </row>
    <row r="153" spans="1:37" x14ac:dyDescent="0.3">
      <c r="A153">
        <v>8008</v>
      </c>
      <c r="B153" s="207">
        <v>46121</v>
      </c>
      <c r="C153" t="s">
        <v>438</v>
      </c>
      <c r="D153" t="s">
        <v>640</v>
      </c>
      <c r="E153" t="s">
        <v>641</v>
      </c>
      <c r="F153" s="207">
        <v>46965</v>
      </c>
      <c r="G153">
        <v>2.5</v>
      </c>
      <c r="H153">
        <v>2520</v>
      </c>
      <c r="I153">
        <v>2480870</v>
      </c>
      <c r="J153">
        <v>3.3410000000000002</v>
      </c>
      <c r="K153">
        <v>10486</v>
      </c>
      <c r="L153">
        <v>2642471</v>
      </c>
      <c r="M153">
        <v>-11677</v>
      </c>
      <c r="N153">
        <v>173278</v>
      </c>
      <c r="O153">
        <v>17977</v>
      </c>
      <c r="P153">
        <v>149842</v>
      </c>
      <c r="Q153">
        <v>5459</v>
      </c>
      <c r="S153">
        <v>0</v>
      </c>
      <c r="T153">
        <v>23480</v>
      </c>
      <c r="U153">
        <v>2340</v>
      </c>
      <c r="V153">
        <v>2.3086666666000002</v>
      </c>
      <c r="W153">
        <v>2.2354333333</v>
      </c>
      <c r="X153">
        <v>7.0929333333000004</v>
      </c>
      <c r="Z153">
        <v>10485.34</v>
      </c>
      <c r="AB153">
        <v>10490.35</v>
      </c>
      <c r="AD153">
        <v>10484.4</v>
      </c>
      <c r="AF153" t="s">
        <v>182</v>
      </c>
      <c r="AG153" t="s">
        <v>185</v>
      </c>
      <c r="AI153" t="s">
        <v>186</v>
      </c>
      <c r="AJ153" t="s">
        <v>642</v>
      </c>
      <c r="AK153" t="s">
        <v>188</v>
      </c>
    </row>
    <row r="154" spans="1:37" x14ac:dyDescent="0.3">
      <c r="A154">
        <v>8008</v>
      </c>
      <c r="B154" s="207">
        <v>46121</v>
      </c>
      <c r="C154" t="s">
        <v>438</v>
      </c>
      <c r="D154" t="s">
        <v>643</v>
      </c>
      <c r="E154" t="s">
        <v>644</v>
      </c>
      <c r="F154" s="207">
        <v>47118</v>
      </c>
      <c r="G154">
        <v>2.5</v>
      </c>
      <c r="H154">
        <v>2510</v>
      </c>
      <c r="I154">
        <v>2458304</v>
      </c>
      <c r="J154">
        <v>3.4550000000000001</v>
      </c>
      <c r="K154">
        <v>10312</v>
      </c>
      <c r="L154">
        <v>2588312</v>
      </c>
      <c r="M154">
        <v>-14961</v>
      </c>
      <c r="N154">
        <v>144969</v>
      </c>
      <c r="O154">
        <v>17722</v>
      </c>
      <c r="P154">
        <v>1071</v>
      </c>
      <c r="Q154">
        <v>126176</v>
      </c>
      <c r="S154">
        <v>0</v>
      </c>
      <c r="T154">
        <v>2630</v>
      </c>
      <c r="U154">
        <v>260</v>
      </c>
      <c r="V154">
        <v>2.7278666666000002</v>
      </c>
      <c r="W154">
        <v>2.6379999999999999</v>
      </c>
      <c r="X154">
        <v>9.4481333332999995</v>
      </c>
      <c r="Z154">
        <v>10310.89</v>
      </c>
      <c r="AB154">
        <v>10315.32</v>
      </c>
      <c r="AD154">
        <v>10310.620000000001</v>
      </c>
      <c r="AF154" t="s">
        <v>182</v>
      </c>
      <c r="AG154" t="s">
        <v>185</v>
      </c>
      <c r="AI154" t="s">
        <v>186</v>
      </c>
      <c r="AJ154" t="s">
        <v>645</v>
      </c>
      <c r="AK154" t="s">
        <v>188</v>
      </c>
    </row>
    <row r="155" spans="1:37" x14ac:dyDescent="0.3">
      <c r="A155">
        <v>8008</v>
      </c>
      <c r="B155" s="207">
        <v>46121</v>
      </c>
      <c r="C155" t="s">
        <v>438</v>
      </c>
      <c r="D155" t="s">
        <v>646</v>
      </c>
      <c r="E155" t="s">
        <v>647</v>
      </c>
      <c r="F155" s="207">
        <v>47149</v>
      </c>
      <c r="G155">
        <v>2.5</v>
      </c>
      <c r="H155">
        <v>10196</v>
      </c>
      <c r="I155">
        <v>9977857</v>
      </c>
      <c r="J155">
        <v>3.4849999999999999</v>
      </c>
      <c r="K155">
        <v>10274</v>
      </c>
      <c r="L155">
        <v>10475369</v>
      </c>
      <c r="M155">
        <v>-68780</v>
      </c>
      <c r="N155">
        <v>566292</v>
      </c>
      <c r="O155">
        <v>71839</v>
      </c>
      <c r="P155">
        <v>396536</v>
      </c>
      <c r="Q155">
        <v>97917</v>
      </c>
      <c r="S155">
        <v>0</v>
      </c>
      <c r="T155">
        <v>65560</v>
      </c>
      <c r="U155">
        <v>6550</v>
      </c>
      <c r="V155">
        <v>2.8128000000000002</v>
      </c>
      <c r="W155">
        <v>2.7187999999999999</v>
      </c>
      <c r="X155">
        <v>9.9726666666000003</v>
      </c>
      <c r="Z155">
        <v>10273.299999999999</v>
      </c>
      <c r="AB155">
        <v>10277.01</v>
      </c>
      <c r="AD155">
        <v>10272.74</v>
      </c>
      <c r="AF155" t="s">
        <v>182</v>
      </c>
      <c r="AG155" t="s">
        <v>185</v>
      </c>
      <c r="AI155" t="s">
        <v>186</v>
      </c>
      <c r="AJ155" t="s">
        <v>648</v>
      </c>
      <c r="AK155" t="s">
        <v>188</v>
      </c>
    </row>
    <row r="156" spans="1:37" x14ac:dyDescent="0.3">
      <c r="A156">
        <v>8008</v>
      </c>
      <c r="B156" s="207">
        <v>46121</v>
      </c>
      <c r="C156" t="s">
        <v>438</v>
      </c>
      <c r="D156" t="s">
        <v>649</v>
      </c>
      <c r="E156" t="s">
        <v>650</v>
      </c>
      <c r="F156" s="207">
        <v>47177</v>
      </c>
      <c r="G156">
        <v>2.5</v>
      </c>
      <c r="H156">
        <v>21369</v>
      </c>
      <c r="I156">
        <v>20894379</v>
      </c>
      <c r="J156">
        <v>3.512</v>
      </c>
      <c r="K156">
        <v>10239</v>
      </c>
      <c r="L156">
        <v>21879717</v>
      </c>
      <c r="M156">
        <v>-158824</v>
      </c>
      <c r="N156">
        <v>1144162</v>
      </c>
      <c r="O156">
        <v>150277</v>
      </c>
      <c r="P156">
        <v>898107</v>
      </c>
      <c r="Q156">
        <v>95778</v>
      </c>
      <c r="S156">
        <v>0</v>
      </c>
      <c r="T156">
        <v>146750</v>
      </c>
      <c r="U156">
        <v>14660</v>
      </c>
      <c r="V156">
        <v>2.8895</v>
      </c>
      <c r="W156">
        <v>2.7916666665999998</v>
      </c>
      <c r="X156">
        <v>10.4600333333</v>
      </c>
      <c r="Z156">
        <v>10239.19</v>
      </c>
      <c r="AB156">
        <v>10242.129999999999</v>
      </c>
      <c r="AD156">
        <v>10238.34</v>
      </c>
      <c r="AF156" t="s">
        <v>182</v>
      </c>
      <c r="AG156" t="s">
        <v>185</v>
      </c>
      <c r="AI156" t="s">
        <v>186</v>
      </c>
      <c r="AJ156" t="s">
        <v>651</v>
      </c>
      <c r="AK156" t="s">
        <v>188</v>
      </c>
    </row>
    <row r="157" spans="1:37" x14ac:dyDescent="0.3">
      <c r="A157">
        <v>8008</v>
      </c>
      <c r="B157" s="207">
        <v>46121</v>
      </c>
      <c r="C157" t="s">
        <v>438</v>
      </c>
      <c r="D157" t="s">
        <v>652</v>
      </c>
      <c r="E157" t="s">
        <v>653</v>
      </c>
      <c r="F157" s="207">
        <v>47238</v>
      </c>
      <c r="G157">
        <v>2.5</v>
      </c>
      <c r="H157">
        <v>65208</v>
      </c>
      <c r="I157">
        <v>63649469</v>
      </c>
      <c r="J157">
        <v>3.552</v>
      </c>
      <c r="K157">
        <v>10169</v>
      </c>
      <c r="L157">
        <v>66310014</v>
      </c>
      <c r="M157">
        <v>-547978</v>
      </c>
      <c r="N157">
        <v>3208523</v>
      </c>
      <c r="O157">
        <v>456686</v>
      </c>
      <c r="P157">
        <v>2514371</v>
      </c>
      <c r="Q157">
        <v>237466</v>
      </c>
      <c r="S157">
        <v>0</v>
      </c>
      <c r="T157">
        <v>415940</v>
      </c>
      <c r="U157">
        <v>41590</v>
      </c>
      <c r="V157">
        <v>3.0566</v>
      </c>
      <c r="W157">
        <v>2.9514999999999998</v>
      </c>
      <c r="X157">
        <v>11.544766666599999</v>
      </c>
      <c r="Z157">
        <v>10169.42</v>
      </c>
      <c r="AB157">
        <v>10170.39</v>
      </c>
      <c r="AD157">
        <v>10167.92</v>
      </c>
      <c r="AF157" t="s">
        <v>182</v>
      </c>
      <c r="AG157" t="s">
        <v>185</v>
      </c>
      <c r="AI157" t="s">
        <v>186</v>
      </c>
      <c r="AJ157" t="s">
        <v>654</v>
      </c>
      <c r="AK157" t="s">
        <v>188</v>
      </c>
    </row>
    <row r="158" spans="1:37" x14ac:dyDescent="0.3">
      <c r="A158">
        <v>8008</v>
      </c>
      <c r="B158" s="207">
        <v>46121</v>
      </c>
      <c r="C158" t="s">
        <v>438</v>
      </c>
      <c r="D158" t="s">
        <v>655</v>
      </c>
      <c r="E158" t="s">
        <v>656</v>
      </c>
      <c r="F158" s="207">
        <v>47269</v>
      </c>
      <c r="G158">
        <v>2.5</v>
      </c>
      <c r="H158">
        <v>1161</v>
      </c>
      <c r="I158">
        <v>1132188</v>
      </c>
      <c r="J158">
        <v>3.5539999999999998</v>
      </c>
      <c r="K158">
        <v>10138</v>
      </c>
      <c r="L158">
        <v>1177021</v>
      </c>
      <c r="M158">
        <v>-9740</v>
      </c>
      <c r="N158">
        <v>54573</v>
      </c>
      <c r="O158">
        <v>8114</v>
      </c>
      <c r="P158">
        <v>42416</v>
      </c>
      <c r="Q158">
        <v>4043</v>
      </c>
      <c r="S158">
        <v>0</v>
      </c>
      <c r="T158">
        <v>7060</v>
      </c>
      <c r="U158">
        <v>690</v>
      </c>
      <c r="V158">
        <v>3.1415666666000002</v>
      </c>
      <c r="W158">
        <v>3.0341999999999998</v>
      </c>
      <c r="X158">
        <v>12.098100000000001</v>
      </c>
      <c r="Z158">
        <v>10137.969999999999</v>
      </c>
      <c r="AB158">
        <v>10139.58</v>
      </c>
      <c r="AD158">
        <v>10136.73</v>
      </c>
      <c r="AF158" t="s">
        <v>182</v>
      </c>
      <c r="AG158" t="s">
        <v>185</v>
      </c>
      <c r="AI158" t="s">
        <v>186</v>
      </c>
      <c r="AJ158" t="s">
        <v>657</v>
      </c>
      <c r="AK158" t="s">
        <v>188</v>
      </c>
    </row>
    <row r="159" spans="1:37" x14ac:dyDescent="0.3">
      <c r="A159">
        <v>8008</v>
      </c>
      <c r="B159" s="207">
        <v>46121</v>
      </c>
      <c r="C159" t="s">
        <v>438</v>
      </c>
      <c r="D159" t="s">
        <v>658</v>
      </c>
      <c r="E159" t="s">
        <v>659</v>
      </c>
      <c r="F159" s="207">
        <v>47330</v>
      </c>
      <c r="G159">
        <v>2.5</v>
      </c>
      <c r="H159">
        <v>7622</v>
      </c>
      <c r="I159">
        <v>7419756</v>
      </c>
      <c r="J159">
        <v>3.5590000000000002</v>
      </c>
      <c r="K159">
        <v>10077</v>
      </c>
      <c r="L159">
        <v>7680687</v>
      </c>
      <c r="M159">
        <v>-64484</v>
      </c>
      <c r="N159">
        <v>325415</v>
      </c>
      <c r="O159">
        <v>53050</v>
      </c>
      <c r="P159">
        <v>226138</v>
      </c>
      <c r="Q159">
        <v>46227</v>
      </c>
      <c r="S159">
        <v>0</v>
      </c>
      <c r="T159">
        <v>39050</v>
      </c>
      <c r="U159">
        <v>3890</v>
      </c>
      <c r="V159">
        <v>3.3086666666000002</v>
      </c>
      <c r="W159">
        <v>3.1964999999999999</v>
      </c>
      <c r="X159">
        <v>13.2372</v>
      </c>
      <c r="Z159">
        <v>10076.129999999999</v>
      </c>
      <c r="AB159">
        <v>10079.75</v>
      </c>
      <c r="AD159">
        <v>10075.48</v>
      </c>
      <c r="AF159" t="s">
        <v>182</v>
      </c>
      <c r="AG159" t="s">
        <v>185</v>
      </c>
      <c r="AI159" t="s">
        <v>186</v>
      </c>
      <c r="AJ159" t="s">
        <v>660</v>
      </c>
      <c r="AK159" t="s">
        <v>188</v>
      </c>
    </row>
    <row r="160" spans="1:37" x14ac:dyDescent="0.3">
      <c r="A160">
        <v>8008</v>
      </c>
      <c r="B160" s="207">
        <v>46121</v>
      </c>
      <c r="C160" t="s">
        <v>438</v>
      </c>
      <c r="D160" t="s">
        <v>661</v>
      </c>
      <c r="E160" t="s">
        <v>662</v>
      </c>
      <c r="F160" s="207">
        <v>47361</v>
      </c>
      <c r="G160">
        <v>2.5</v>
      </c>
      <c r="H160">
        <v>65210</v>
      </c>
      <c r="I160">
        <v>63419029</v>
      </c>
      <c r="J160">
        <v>3.5609999999999999</v>
      </c>
      <c r="K160">
        <v>10046</v>
      </c>
      <c r="L160">
        <v>65509966</v>
      </c>
      <c r="M160">
        <v>-550728</v>
      </c>
      <c r="N160">
        <v>2641665</v>
      </c>
      <c r="O160">
        <v>452914</v>
      </c>
      <c r="P160">
        <v>1363900</v>
      </c>
      <c r="Q160">
        <v>824851</v>
      </c>
      <c r="S160">
        <v>0</v>
      </c>
      <c r="T160">
        <v>254330</v>
      </c>
      <c r="U160">
        <v>25410</v>
      </c>
      <c r="V160">
        <v>3.3936000000000002</v>
      </c>
      <c r="W160">
        <v>3.2787333332999999</v>
      </c>
      <c r="X160">
        <v>13.8414</v>
      </c>
      <c r="Z160">
        <v>10045.07</v>
      </c>
      <c r="AB160">
        <v>10049.43</v>
      </c>
      <c r="AD160">
        <v>10044.74</v>
      </c>
      <c r="AF160" t="s">
        <v>182</v>
      </c>
      <c r="AG160" t="s">
        <v>185</v>
      </c>
      <c r="AI160" t="s">
        <v>186</v>
      </c>
      <c r="AJ160" t="s">
        <v>663</v>
      </c>
      <c r="AK160" t="s">
        <v>188</v>
      </c>
    </row>
    <row r="161" spans="1:37" x14ac:dyDescent="0.3">
      <c r="A161">
        <v>8008</v>
      </c>
      <c r="B161" s="207">
        <v>46121</v>
      </c>
      <c r="C161" t="s">
        <v>438</v>
      </c>
      <c r="D161" t="s">
        <v>664</v>
      </c>
      <c r="E161" t="s">
        <v>665</v>
      </c>
      <c r="F161" s="207">
        <v>47391</v>
      </c>
      <c r="G161">
        <v>2.5</v>
      </c>
      <c r="H161">
        <v>6145</v>
      </c>
      <c r="I161">
        <v>5971286</v>
      </c>
      <c r="J161">
        <v>3.5619999999999998</v>
      </c>
      <c r="K161">
        <v>10016</v>
      </c>
      <c r="L161">
        <v>6154830</v>
      </c>
      <c r="M161">
        <v>-52424</v>
      </c>
      <c r="N161">
        <v>235968</v>
      </c>
      <c r="O161">
        <v>42592</v>
      </c>
      <c r="P161">
        <v>149574</v>
      </c>
      <c r="Q161">
        <v>43802</v>
      </c>
      <c r="S161">
        <v>0</v>
      </c>
      <c r="T161">
        <v>26870</v>
      </c>
      <c r="U161">
        <v>2660</v>
      </c>
      <c r="V161">
        <v>3.4758</v>
      </c>
      <c r="W161">
        <v>3.3581333333000001</v>
      </c>
      <c r="X161">
        <v>14.4421666666</v>
      </c>
      <c r="Z161">
        <v>10015.120000000001</v>
      </c>
      <c r="AB161">
        <v>10020.58</v>
      </c>
      <c r="AD161">
        <v>10015.120000000001</v>
      </c>
      <c r="AF161" t="s">
        <v>182</v>
      </c>
      <c r="AG161" t="s">
        <v>185</v>
      </c>
      <c r="AI161" t="s">
        <v>186</v>
      </c>
      <c r="AJ161" t="s">
        <v>666</v>
      </c>
      <c r="AK161" t="s">
        <v>188</v>
      </c>
    </row>
    <row r="162" spans="1:37" x14ac:dyDescent="0.3">
      <c r="A162">
        <v>8008</v>
      </c>
      <c r="B162" s="207">
        <v>46121</v>
      </c>
      <c r="C162" t="s">
        <v>438</v>
      </c>
      <c r="D162" t="s">
        <v>667</v>
      </c>
      <c r="E162" t="s">
        <v>668</v>
      </c>
      <c r="F162" s="207">
        <v>47422</v>
      </c>
      <c r="G162">
        <v>2.5</v>
      </c>
      <c r="H162">
        <v>84941</v>
      </c>
      <c r="I162">
        <v>82468517</v>
      </c>
      <c r="J162">
        <v>3.5649999999999999</v>
      </c>
      <c r="K162">
        <v>9986</v>
      </c>
      <c r="L162">
        <v>84822082</v>
      </c>
      <c r="M162">
        <v>-723432</v>
      </c>
      <c r="N162">
        <v>3076997</v>
      </c>
      <c r="O162">
        <v>587526</v>
      </c>
      <c r="P162">
        <v>2310472</v>
      </c>
      <c r="Q162">
        <v>178999</v>
      </c>
      <c r="S162">
        <v>0</v>
      </c>
      <c r="T162">
        <v>405710</v>
      </c>
      <c r="U162">
        <v>40560</v>
      </c>
      <c r="V162">
        <v>3.5607000000000002</v>
      </c>
      <c r="W162">
        <v>3.4400333333000002</v>
      </c>
      <c r="X162">
        <v>15.0791333333</v>
      </c>
      <c r="Z162">
        <v>9983.99</v>
      </c>
      <c r="AB162">
        <v>9990.6</v>
      </c>
      <c r="AD162">
        <v>9984.33</v>
      </c>
      <c r="AF162" t="s">
        <v>182</v>
      </c>
      <c r="AG162" t="s">
        <v>185</v>
      </c>
      <c r="AI162" t="s">
        <v>186</v>
      </c>
      <c r="AJ162" t="s">
        <v>669</v>
      </c>
      <c r="AK162" t="s">
        <v>188</v>
      </c>
    </row>
    <row r="163" spans="1:37" x14ac:dyDescent="0.3">
      <c r="A163">
        <v>8008</v>
      </c>
      <c r="B163" s="207">
        <v>46121</v>
      </c>
      <c r="C163" t="s">
        <v>438</v>
      </c>
      <c r="D163" t="s">
        <v>670</v>
      </c>
      <c r="E163" t="s">
        <v>671</v>
      </c>
      <c r="F163" s="207">
        <v>47452</v>
      </c>
      <c r="G163">
        <v>2.5</v>
      </c>
      <c r="H163">
        <v>32176</v>
      </c>
      <c r="I163">
        <v>31209742</v>
      </c>
      <c r="J163">
        <v>3.5670000000000002</v>
      </c>
      <c r="K163">
        <v>9956</v>
      </c>
      <c r="L163">
        <v>32034425</v>
      </c>
      <c r="M163">
        <v>-273295</v>
      </c>
      <c r="N163">
        <v>1097978</v>
      </c>
      <c r="O163">
        <v>222104</v>
      </c>
      <c r="P163">
        <v>463911</v>
      </c>
      <c r="Q163">
        <v>411963</v>
      </c>
      <c r="S163">
        <v>0</v>
      </c>
      <c r="T163">
        <v>96020</v>
      </c>
      <c r="U163">
        <v>9580</v>
      </c>
      <c r="V163">
        <v>3.6429</v>
      </c>
      <c r="W163">
        <v>3.5191333333000001</v>
      </c>
      <c r="X163">
        <v>15.711333333300001</v>
      </c>
      <c r="Z163">
        <v>9953.58</v>
      </c>
      <c r="AB163">
        <v>9962.07</v>
      </c>
      <c r="AD163">
        <v>9954.98</v>
      </c>
      <c r="AF163" t="s">
        <v>182</v>
      </c>
      <c r="AG163" t="s">
        <v>185</v>
      </c>
      <c r="AI163" t="s">
        <v>186</v>
      </c>
      <c r="AJ163" t="s">
        <v>672</v>
      </c>
      <c r="AK163" t="s">
        <v>188</v>
      </c>
    </row>
    <row r="164" spans="1:37" x14ac:dyDescent="0.3">
      <c r="A164">
        <v>8008</v>
      </c>
      <c r="B164" s="207">
        <v>46121</v>
      </c>
      <c r="C164" t="s">
        <v>438</v>
      </c>
      <c r="D164" t="s">
        <v>673</v>
      </c>
      <c r="E164" t="s">
        <v>674</v>
      </c>
      <c r="F164" s="207">
        <v>47573</v>
      </c>
      <c r="G164">
        <v>2.5</v>
      </c>
      <c r="H164">
        <v>83849</v>
      </c>
      <c r="I164">
        <v>80960648</v>
      </c>
      <c r="J164">
        <v>3.5790000000000002</v>
      </c>
      <c r="K164">
        <v>9838</v>
      </c>
      <c r="L164">
        <v>82490645</v>
      </c>
      <c r="M164">
        <v>-624387</v>
      </c>
      <c r="N164">
        <v>2154384</v>
      </c>
      <c r="O164">
        <v>574078</v>
      </c>
      <c r="P164">
        <v>1399453</v>
      </c>
      <c r="Q164">
        <v>180853</v>
      </c>
      <c r="S164">
        <v>0</v>
      </c>
      <c r="T164">
        <v>276250</v>
      </c>
      <c r="U164">
        <v>27610</v>
      </c>
      <c r="V164">
        <v>3.9744000000000002</v>
      </c>
      <c r="W164">
        <v>3.8365</v>
      </c>
      <c r="X164">
        <v>18.414633333299999</v>
      </c>
      <c r="Z164">
        <v>9830.84</v>
      </c>
      <c r="AB164">
        <v>9847.52</v>
      </c>
      <c r="AD164">
        <v>9837.6299999999992</v>
      </c>
      <c r="AF164" t="s">
        <v>182</v>
      </c>
      <c r="AG164" t="s">
        <v>185</v>
      </c>
      <c r="AI164" t="s">
        <v>186</v>
      </c>
      <c r="AJ164" t="s">
        <v>675</v>
      </c>
      <c r="AK164" t="s">
        <v>188</v>
      </c>
    </row>
    <row r="165" spans="1:37" x14ac:dyDescent="0.3">
      <c r="A165">
        <v>8008</v>
      </c>
      <c r="B165" s="207">
        <v>46121</v>
      </c>
      <c r="C165" t="s">
        <v>438</v>
      </c>
      <c r="D165" t="s">
        <v>676</v>
      </c>
      <c r="E165" t="s">
        <v>677</v>
      </c>
      <c r="F165" s="207">
        <v>47634</v>
      </c>
      <c r="G165">
        <v>2.5</v>
      </c>
      <c r="H165">
        <v>97582</v>
      </c>
      <c r="I165">
        <v>93985962</v>
      </c>
      <c r="J165">
        <v>3.597</v>
      </c>
      <c r="K165">
        <v>9773</v>
      </c>
      <c r="L165">
        <v>95366887</v>
      </c>
      <c r="M165">
        <v>-714123</v>
      </c>
      <c r="N165">
        <v>2095048</v>
      </c>
      <c r="O165">
        <v>665348</v>
      </c>
      <c r="P165">
        <v>1221656</v>
      </c>
      <c r="Q165">
        <v>208044</v>
      </c>
      <c r="S165">
        <v>0</v>
      </c>
      <c r="T165">
        <v>264160</v>
      </c>
      <c r="U165">
        <v>26400</v>
      </c>
      <c r="V165">
        <v>4.1415666666000002</v>
      </c>
      <c r="W165">
        <v>3.9982333333</v>
      </c>
      <c r="X165">
        <v>19.807133333300001</v>
      </c>
      <c r="Z165">
        <v>9764.9</v>
      </c>
      <c r="AB165">
        <v>9781.7800000000007</v>
      </c>
      <c r="AD165">
        <v>9773.89</v>
      </c>
      <c r="AF165" t="s">
        <v>182</v>
      </c>
      <c r="AG165" t="s">
        <v>185</v>
      </c>
      <c r="AI165" t="s">
        <v>186</v>
      </c>
      <c r="AJ165" t="s">
        <v>678</v>
      </c>
      <c r="AK165" t="s">
        <v>188</v>
      </c>
    </row>
    <row r="166" spans="1:37" x14ac:dyDescent="0.3">
      <c r="A166">
        <v>8008</v>
      </c>
      <c r="B166" s="207">
        <v>46121</v>
      </c>
      <c r="C166" t="s">
        <v>438</v>
      </c>
      <c r="D166" t="s">
        <v>679</v>
      </c>
      <c r="E166" t="s">
        <v>680</v>
      </c>
      <c r="F166" s="207">
        <v>47664</v>
      </c>
      <c r="G166">
        <v>2.5</v>
      </c>
      <c r="H166">
        <v>4193</v>
      </c>
      <c r="I166">
        <v>4033691</v>
      </c>
      <c r="J166">
        <v>3.6059999999999999</v>
      </c>
      <c r="K166">
        <v>9741</v>
      </c>
      <c r="L166">
        <v>4084400</v>
      </c>
      <c r="M166">
        <v>-30629</v>
      </c>
      <c r="N166">
        <v>81338</v>
      </c>
      <c r="O166">
        <v>28532</v>
      </c>
      <c r="P166">
        <v>10291</v>
      </c>
      <c r="Q166">
        <v>42515</v>
      </c>
      <c r="S166">
        <v>0</v>
      </c>
      <c r="T166">
        <v>5420</v>
      </c>
      <c r="U166">
        <v>530</v>
      </c>
      <c r="V166">
        <v>4.2237666666000004</v>
      </c>
      <c r="W166">
        <v>4.0778666666000003</v>
      </c>
      <c r="X166">
        <v>20.509933333300001</v>
      </c>
      <c r="Z166">
        <v>9732.91</v>
      </c>
      <c r="AB166">
        <v>9748.8799999999992</v>
      </c>
      <c r="AD166">
        <v>9742.0499999999993</v>
      </c>
      <c r="AF166" t="s">
        <v>182</v>
      </c>
      <c r="AG166" t="s">
        <v>185</v>
      </c>
      <c r="AI166" t="s">
        <v>186</v>
      </c>
      <c r="AJ166" t="s">
        <v>681</v>
      </c>
      <c r="AK166" t="s">
        <v>188</v>
      </c>
    </row>
    <row r="167" spans="1:37" x14ac:dyDescent="0.3">
      <c r="A167">
        <v>8008</v>
      </c>
      <c r="B167" s="207">
        <v>46121</v>
      </c>
      <c r="C167" t="s">
        <v>438</v>
      </c>
      <c r="D167" t="s">
        <v>682</v>
      </c>
      <c r="E167" t="s">
        <v>683</v>
      </c>
      <c r="F167" s="207">
        <v>47695</v>
      </c>
      <c r="G167">
        <v>2.5</v>
      </c>
      <c r="H167">
        <v>11107</v>
      </c>
      <c r="I167">
        <v>10671909</v>
      </c>
      <c r="J167">
        <v>3.6160000000000001</v>
      </c>
      <c r="K167">
        <v>9707</v>
      </c>
      <c r="L167">
        <v>10781563</v>
      </c>
      <c r="M167">
        <v>-82084</v>
      </c>
      <c r="N167">
        <v>191738</v>
      </c>
      <c r="O167">
        <v>75419</v>
      </c>
      <c r="P167">
        <v>86104</v>
      </c>
      <c r="Q167">
        <v>30215</v>
      </c>
      <c r="S167">
        <v>0</v>
      </c>
      <c r="T167">
        <v>22590</v>
      </c>
      <c r="U167">
        <v>2240</v>
      </c>
      <c r="V167">
        <v>4.3086666665999998</v>
      </c>
      <c r="W167">
        <v>4.1598666666000002</v>
      </c>
      <c r="X167">
        <v>21.252233333300001</v>
      </c>
      <c r="Z167">
        <v>9699.2199999999993</v>
      </c>
      <c r="AB167">
        <v>9715.0499999999993</v>
      </c>
      <c r="AD167">
        <v>9708.91</v>
      </c>
      <c r="AF167" t="s">
        <v>182</v>
      </c>
      <c r="AG167" t="s">
        <v>185</v>
      </c>
      <c r="AI167" t="s">
        <v>186</v>
      </c>
      <c r="AJ167" t="s">
        <v>684</v>
      </c>
      <c r="AK167" t="s">
        <v>188</v>
      </c>
    </row>
    <row r="168" spans="1:37" x14ac:dyDescent="0.3">
      <c r="A168">
        <v>8008</v>
      </c>
      <c r="B168" s="207">
        <v>46121</v>
      </c>
      <c r="C168" t="s">
        <v>438</v>
      </c>
      <c r="D168" t="s">
        <v>685</v>
      </c>
      <c r="E168" t="s">
        <v>686</v>
      </c>
      <c r="F168" s="207">
        <v>47726</v>
      </c>
      <c r="G168">
        <v>2</v>
      </c>
      <c r="H168">
        <v>63844</v>
      </c>
      <c r="I168">
        <v>59873188</v>
      </c>
      <c r="J168">
        <v>3.6240000000000001</v>
      </c>
      <c r="K168">
        <v>9440</v>
      </c>
      <c r="L168">
        <v>60268736</v>
      </c>
      <c r="M168">
        <v>-378057</v>
      </c>
      <c r="N168">
        <v>773605</v>
      </c>
      <c r="O168">
        <v>346137</v>
      </c>
      <c r="P168">
        <v>317449</v>
      </c>
      <c r="Q168">
        <v>110019</v>
      </c>
      <c r="S168">
        <v>0</v>
      </c>
      <c r="T168">
        <v>92870</v>
      </c>
      <c r="U168">
        <v>9260</v>
      </c>
      <c r="V168">
        <v>4.3936000000000002</v>
      </c>
      <c r="W168">
        <v>4.2417666666000002</v>
      </c>
      <c r="X168">
        <v>22.011633333300001</v>
      </c>
      <c r="Z168">
        <v>9433.5</v>
      </c>
      <c r="AB168">
        <v>9447.02</v>
      </c>
      <c r="AD168">
        <v>9441.91</v>
      </c>
      <c r="AF168" t="s">
        <v>182</v>
      </c>
      <c r="AG168" t="s">
        <v>185</v>
      </c>
      <c r="AI168" t="s">
        <v>186</v>
      </c>
      <c r="AJ168" t="s">
        <v>687</v>
      </c>
      <c r="AK168" t="s">
        <v>188</v>
      </c>
    </row>
    <row r="169" spans="1:37" x14ac:dyDescent="0.3">
      <c r="A169">
        <v>8008</v>
      </c>
      <c r="B169" s="207">
        <v>46121</v>
      </c>
      <c r="C169" t="s">
        <v>438</v>
      </c>
      <c r="D169" t="s">
        <v>688</v>
      </c>
      <c r="E169" t="s">
        <v>689</v>
      </c>
      <c r="F169" s="207">
        <v>47756</v>
      </c>
      <c r="G169">
        <v>2</v>
      </c>
      <c r="H169">
        <v>2745</v>
      </c>
      <c r="I169">
        <v>2570258</v>
      </c>
      <c r="J169">
        <v>3.633</v>
      </c>
      <c r="K169">
        <v>9409</v>
      </c>
      <c r="L169">
        <v>2582770</v>
      </c>
      <c r="M169">
        <v>-16231</v>
      </c>
      <c r="N169">
        <v>28743</v>
      </c>
      <c r="O169">
        <v>14858</v>
      </c>
      <c r="P169">
        <v>898</v>
      </c>
      <c r="Q169">
        <v>12987</v>
      </c>
      <c r="S169">
        <v>0</v>
      </c>
      <c r="T169">
        <v>2200</v>
      </c>
      <c r="U169">
        <v>220</v>
      </c>
      <c r="V169">
        <v>4.4757999999999996</v>
      </c>
      <c r="W169">
        <v>4.3208666665999997</v>
      </c>
      <c r="X169">
        <v>22.7617666666</v>
      </c>
      <c r="Z169">
        <v>9402.89</v>
      </c>
      <c r="AB169">
        <v>9414.9699999999993</v>
      </c>
      <c r="AD169">
        <v>9411.0300000000007</v>
      </c>
      <c r="AF169" t="s">
        <v>182</v>
      </c>
      <c r="AG169" t="s">
        <v>185</v>
      </c>
      <c r="AI169" t="s">
        <v>186</v>
      </c>
      <c r="AJ169" t="s">
        <v>690</v>
      </c>
      <c r="AK169" t="s">
        <v>188</v>
      </c>
    </row>
    <row r="170" spans="1:37" x14ac:dyDescent="0.3">
      <c r="A170">
        <v>8008</v>
      </c>
      <c r="B170" s="207">
        <v>46121</v>
      </c>
      <c r="C170" t="s">
        <v>438</v>
      </c>
      <c r="D170" t="s">
        <v>691</v>
      </c>
      <c r="E170" t="s">
        <v>692</v>
      </c>
      <c r="F170" s="207">
        <v>47787</v>
      </c>
      <c r="G170">
        <v>2</v>
      </c>
      <c r="H170">
        <v>5875</v>
      </c>
      <c r="I170">
        <v>5492130</v>
      </c>
      <c r="J170">
        <v>3.6419999999999999</v>
      </c>
      <c r="K170">
        <v>9377</v>
      </c>
      <c r="L170">
        <v>5508987</v>
      </c>
      <c r="M170">
        <v>-34685</v>
      </c>
      <c r="N170">
        <v>51542</v>
      </c>
      <c r="O170">
        <v>31747</v>
      </c>
      <c r="P170">
        <v>10865</v>
      </c>
      <c r="Q170">
        <v>8930</v>
      </c>
      <c r="S170">
        <v>0</v>
      </c>
      <c r="T170">
        <v>5960</v>
      </c>
      <c r="U170">
        <v>590</v>
      </c>
      <c r="V170">
        <v>4.5606999999999998</v>
      </c>
      <c r="W170">
        <v>4.4024333333000003</v>
      </c>
      <c r="X170">
        <v>23.5527666666</v>
      </c>
      <c r="Z170">
        <v>9371.44</v>
      </c>
      <c r="AB170">
        <v>9381.6299999999992</v>
      </c>
      <c r="AD170">
        <v>9379.2900000000009</v>
      </c>
      <c r="AF170" t="s">
        <v>182</v>
      </c>
      <c r="AG170" t="s">
        <v>185</v>
      </c>
      <c r="AI170" t="s">
        <v>186</v>
      </c>
      <c r="AJ170" t="s">
        <v>693</v>
      </c>
      <c r="AK170" t="s">
        <v>188</v>
      </c>
    </row>
    <row r="171" spans="1:37" x14ac:dyDescent="0.3">
      <c r="A171">
        <v>8008</v>
      </c>
      <c r="B171" s="207">
        <v>46121</v>
      </c>
      <c r="C171" t="s">
        <v>438</v>
      </c>
      <c r="D171" t="s">
        <v>694</v>
      </c>
      <c r="E171" t="s">
        <v>695</v>
      </c>
      <c r="F171" s="207">
        <v>47817</v>
      </c>
      <c r="G171">
        <v>2</v>
      </c>
      <c r="H171">
        <v>12889</v>
      </c>
      <c r="I171">
        <v>11990564</v>
      </c>
      <c r="J171">
        <v>3.6509999999999998</v>
      </c>
      <c r="K171">
        <v>9345</v>
      </c>
      <c r="L171">
        <v>12044770</v>
      </c>
      <c r="M171">
        <v>-37725</v>
      </c>
      <c r="N171">
        <v>91931</v>
      </c>
      <c r="O171">
        <v>68576</v>
      </c>
      <c r="P171">
        <v>1455</v>
      </c>
      <c r="Q171">
        <v>21900</v>
      </c>
      <c r="S171">
        <v>0</v>
      </c>
      <c r="T171">
        <v>9800</v>
      </c>
      <c r="U171">
        <v>970</v>
      </c>
      <c r="V171">
        <v>4.6429</v>
      </c>
      <c r="W171">
        <v>4.4810999999999996</v>
      </c>
      <c r="X171">
        <v>24.332899999999999</v>
      </c>
      <c r="Z171">
        <v>9339.73</v>
      </c>
      <c r="AB171">
        <v>9349.64</v>
      </c>
      <c r="AD171">
        <v>9348.5400000000009</v>
      </c>
      <c r="AF171" t="s">
        <v>182</v>
      </c>
      <c r="AG171" t="s">
        <v>185</v>
      </c>
      <c r="AI171" t="s">
        <v>186</v>
      </c>
      <c r="AJ171" t="s">
        <v>696</v>
      </c>
      <c r="AK171" t="s">
        <v>188</v>
      </c>
    </row>
    <row r="172" spans="1:37" x14ac:dyDescent="0.3">
      <c r="A172">
        <v>8008</v>
      </c>
      <c r="B172" s="207">
        <v>46121</v>
      </c>
      <c r="C172" t="s">
        <v>438</v>
      </c>
      <c r="D172" t="s">
        <v>697</v>
      </c>
      <c r="E172" t="s">
        <v>698</v>
      </c>
      <c r="F172" s="207">
        <v>47848</v>
      </c>
      <c r="G172">
        <v>2</v>
      </c>
      <c r="H172">
        <v>910</v>
      </c>
      <c r="I172">
        <v>834303</v>
      </c>
      <c r="J172">
        <v>3.661</v>
      </c>
      <c r="K172">
        <v>9313</v>
      </c>
      <c r="L172">
        <v>847483</v>
      </c>
      <c r="M172">
        <v>8230</v>
      </c>
      <c r="N172">
        <v>4950</v>
      </c>
      <c r="O172">
        <v>2731</v>
      </c>
      <c r="P172">
        <v>0</v>
      </c>
      <c r="Q172">
        <v>2219</v>
      </c>
      <c r="S172">
        <v>0</v>
      </c>
      <c r="T172">
        <v>370</v>
      </c>
      <c r="U172">
        <v>30</v>
      </c>
      <c r="V172">
        <v>4.7278666665999998</v>
      </c>
      <c r="W172">
        <v>4.5622333333</v>
      </c>
      <c r="X172">
        <v>25.154666666600001</v>
      </c>
      <c r="Z172">
        <v>9307.58</v>
      </c>
      <c r="AB172">
        <v>9316.77</v>
      </c>
      <c r="AD172">
        <v>9316.51</v>
      </c>
      <c r="AF172" t="s">
        <v>182</v>
      </c>
      <c r="AG172" t="s">
        <v>185</v>
      </c>
      <c r="AI172" t="s">
        <v>186</v>
      </c>
      <c r="AJ172" t="s">
        <v>699</v>
      </c>
      <c r="AK172" t="s">
        <v>188</v>
      </c>
    </row>
    <row r="173" spans="1:37" x14ac:dyDescent="0.3">
      <c r="A173">
        <v>8008</v>
      </c>
      <c r="B173" s="207">
        <v>46121</v>
      </c>
      <c r="C173" t="s">
        <v>438</v>
      </c>
      <c r="D173" t="s">
        <v>700</v>
      </c>
      <c r="E173" t="s">
        <v>701</v>
      </c>
      <c r="F173" s="207">
        <v>47879</v>
      </c>
      <c r="G173">
        <v>2</v>
      </c>
      <c r="H173">
        <v>14185</v>
      </c>
      <c r="I173">
        <v>13134648</v>
      </c>
      <c r="J173">
        <v>3.6709999999999998</v>
      </c>
      <c r="K173">
        <v>9281</v>
      </c>
      <c r="L173">
        <v>13165098</v>
      </c>
      <c r="M173">
        <v>-22751</v>
      </c>
      <c r="N173">
        <v>53201</v>
      </c>
      <c r="O173">
        <v>32866</v>
      </c>
      <c r="P173">
        <v>0</v>
      </c>
      <c r="Q173">
        <v>20335</v>
      </c>
      <c r="S173">
        <v>0</v>
      </c>
      <c r="T173">
        <v>4600</v>
      </c>
      <c r="U173">
        <v>460</v>
      </c>
      <c r="V173">
        <v>4.8128000000000002</v>
      </c>
      <c r="W173">
        <v>4.6432000000000002</v>
      </c>
      <c r="X173">
        <v>25.9916666666</v>
      </c>
      <c r="Z173">
        <v>9274.6299999999992</v>
      </c>
      <c r="AB173">
        <v>9283.5</v>
      </c>
      <c r="AD173">
        <v>9284.98</v>
      </c>
      <c r="AF173" t="s">
        <v>182</v>
      </c>
      <c r="AG173" t="s">
        <v>185</v>
      </c>
      <c r="AI173" t="s">
        <v>186</v>
      </c>
      <c r="AJ173" t="s">
        <v>702</v>
      </c>
      <c r="AK173" t="s">
        <v>188</v>
      </c>
    </row>
    <row r="174" spans="1:37" x14ac:dyDescent="0.3">
      <c r="A174">
        <v>8008</v>
      </c>
      <c r="B174" s="207">
        <v>46121</v>
      </c>
      <c r="C174" t="s">
        <v>438</v>
      </c>
      <c r="D174" t="s">
        <v>703</v>
      </c>
      <c r="E174" t="s">
        <v>704</v>
      </c>
      <c r="F174" s="207">
        <v>47907</v>
      </c>
      <c r="G174">
        <v>2</v>
      </c>
      <c r="H174">
        <v>4631</v>
      </c>
      <c r="I174">
        <v>4196222</v>
      </c>
      <c r="J174">
        <v>3.681</v>
      </c>
      <c r="K174">
        <v>9251</v>
      </c>
      <c r="L174">
        <v>4284138</v>
      </c>
      <c r="M174">
        <v>77604</v>
      </c>
      <c r="N174">
        <v>10312</v>
      </c>
      <c r="O174">
        <v>2548</v>
      </c>
      <c r="P174">
        <v>0</v>
      </c>
      <c r="Q174">
        <v>7764</v>
      </c>
      <c r="S174">
        <v>0</v>
      </c>
      <c r="T174">
        <v>350</v>
      </c>
      <c r="U174">
        <v>30</v>
      </c>
      <c r="V174">
        <v>4.8895</v>
      </c>
      <c r="W174">
        <v>4.7161333333000002</v>
      </c>
      <c r="X174">
        <v>26.7605333333</v>
      </c>
      <c r="Z174">
        <v>9244</v>
      </c>
      <c r="AB174">
        <v>9253.84</v>
      </c>
      <c r="AD174">
        <v>9256.2199999999993</v>
      </c>
      <c r="AF174" t="s">
        <v>182</v>
      </c>
      <c r="AG174" t="s">
        <v>185</v>
      </c>
      <c r="AI174" t="s">
        <v>186</v>
      </c>
      <c r="AJ174" t="s">
        <v>705</v>
      </c>
      <c r="AK174" t="s">
        <v>188</v>
      </c>
    </row>
    <row r="175" spans="1:37" x14ac:dyDescent="0.3">
      <c r="A175">
        <v>8008</v>
      </c>
      <c r="B175" s="207">
        <v>46121</v>
      </c>
      <c r="C175" t="s">
        <v>438</v>
      </c>
      <c r="D175" t="s">
        <v>706</v>
      </c>
      <c r="E175" t="s">
        <v>707</v>
      </c>
      <c r="F175" s="207">
        <v>47968</v>
      </c>
      <c r="G175">
        <v>2</v>
      </c>
      <c r="H175">
        <v>257354</v>
      </c>
      <c r="I175">
        <v>233618462</v>
      </c>
      <c r="J175">
        <v>3.7010000000000001</v>
      </c>
      <c r="K175">
        <v>9187</v>
      </c>
      <c r="L175">
        <v>236431118</v>
      </c>
      <c r="M175">
        <v>2812656</v>
      </c>
      <c r="N175">
        <v>0</v>
      </c>
      <c r="O175">
        <v>0</v>
      </c>
      <c r="P175">
        <v>0</v>
      </c>
      <c r="Q175">
        <v>0</v>
      </c>
      <c r="S175">
        <v>0</v>
      </c>
      <c r="T175">
        <v>0</v>
      </c>
      <c r="U175">
        <v>0</v>
      </c>
      <c r="V175">
        <v>5.0566000000000004</v>
      </c>
      <c r="W175">
        <v>4.8758666666000003</v>
      </c>
      <c r="X175">
        <v>28.459566666600001</v>
      </c>
      <c r="Z175">
        <v>9177.61</v>
      </c>
      <c r="AB175">
        <v>9189.0300000000007</v>
      </c>
      <c r="AD175">
        <v>9195.08</v>
      </c>
      <c r="AF175" t="s">
        <v>182</v>
      </c>
      <c r="AG175" t="s">
        <v>185</v>
      </c>
      <c r="AI175" t="s">
        <v>186</v>
      </c>
      <c r="AJ175" t="s">
        <v>708</v>
      </c>
      <c r="AK175" t="s">
        <v>188</v>
      </c>
    </row>
    <row r="176" spans="1:37" x14ac:dyDescent="0.3">
      <c r="A176">
        <v>8008</v>
      </c>
      <c r="B176" s="207">
        <v>46121</v>
      </c>
      <c r="C176" t="s">
        <v>438</v>
      </c>
      <c r="D176" t="s">
        <v>709</v>
      </c>
      <c r="E176" t="s">
        <v>710</v>
      </c>
      <c r="F176" s="207">
        <v>46904</v>
      </c>
      <c r="G176">
        <v>2.5</v>
      </c>
      <c r="H176">
        <v>19880</v>
      </c>
      <c r="I176">
        <v>19609276</v>
      </c>
      <c r="J176">
        <v>3.3180000000000001</v>
      </c>
      <c r="K176">
        <v>10550</v>
      </c>
      <c r="L176">
        <v>20973400</v>
      </c>
      <c r="M176">
        <v>-90724</v>
      </c>
      <c r="N176">
        <v>1454848</v>
      </c>
      <c r="O176">
        <v>142412</v>
      </c>
      <c r="P176">
        <v>1063039</v>
      </c>
      <c r="Q176">
        <v>249397</v>
      </c>
      <c r="S176">
        <v>0</v>
      </c>
      <c r="T176">
        <v>168750</v>
      </c>
      <c r="U176">
        <v>16870</v>
      </c>
      <c r="V176">
        <v>2.1415666666000002</v>
      </c>
      <c r="W176">
        <v>2.0731666666000002</v>
      </c>
      <c r="X176">
        <v>6.2661666666000002</v>
      </c>
      <c r="Z176">
        <v>10547.66</v>
      </c>
      <c r="AB176">
        <v>10554.08</v>
      </c>
      <c r="AD176">
        <v>10548.53</v>
      </c>
      <c r="AF176" t="s">
        <v>182</v>
      </c>
      <c r="AG176" t="s">
        <v>185</v>
      </c>
      <c r="AI176" t="s">
        <v>186</v>
      </c>
      <c r="AJ176" t="s">
        <v>711</v>
      </c>
      <c r="AK176" t="s">
        <v>188</v>
      </c>
    </row>
    <row r="177" spans="1:37" x14ac:dyDescent="0.3">
      <c r="A177">
        <v>8008</v>
      </c>
      <c r="B177" s="207">
        <v>46121</v>
      </c>
      <c r="C177" t="s">
        <v>438</v>
      </c>
      <c r="D177" t="s">
        <v>712</v>
      </c>
      <c r="E177" t="s">
        <v>713</v>
      </c>
      <c r="F177" s="207">
        <v>46173</v>
      </c>
      <c r="G177">
        <v>1.05</v>
      </c>
      <c r="H177">
        <v>18976</v>
      </c>
      <c r="I177">
        <v>18852635</v>
      </c>
      <c r="J177">
        <v>2.661</v>
      </c>
      <c r="K177">
        <v>10497</v>
      </c>
      <c r="L177">
        <v>19919107</v>
      </c>
      <c r="M177">
        <v>78249</v>
      </c>
      <c r="N177">
        <v>988223</v>
      </c>
      <c r="O177">
        <v>56481</v>
      </c>
      <c r="P177">
        <v>915451</v>
      </c>
      <c r="Q177">
        <v>16291</v>
      </c>
      <c r="S177">
        <v>0</v>
      </c>
      <c r="T177">
        <v>136070</v>
      </c>
      <c r="U177">
        <v>13600</v>
      </c>
      <c r="V177">
        <v>0.1406333333</v>
      </c>
      <c r="W177">
        <v>0.13800000000000001</v>
      </c>
      <c r="X177">
        <v>0.1147666666</v>
      </c>
      <c r="Z177">
        <v>10496.69</v>
      </c>
      <c r="AB177">
        <v>10497.5</v>
      </c>
      <c r="AD177">
        <v>10496.83</v>
      </c>
      <c r="AF177" t="s">
        <v>182</v>
      </c>
      <c r="AG177" t="s">
        <v>185</v>
      </c>
      <c r="AI177" t="s">
        <v>186</v>
      </c>
      <c r="AJ177" t="s">
        <v>714</v>
      </c>
      <c r="AK177" t="s">
        <v>188</v>
      </c>
    </row>
    <row r="178" spans="1:37" x14ac:dyDescent="0.3">
      <c r="A178">
        <v>8008</v>
      </c>
      <c r="B178" s="207">
        <v>46121</v>
      </c>
      <c r="C178" t="s">
        <v>438</v>
      </c>
      <c r="D178" t="s">
        <v>715</v>
      </c>
      <c r="E178" t="s">
        <v>716</v>
      </c>
      <c r="F178" s="207">
        <v>46265</v>
      </c>
      <c r="G178">
        <v>1.05</v>
      </c>
      <c r="H178">
        <v>99864</v>
      </c>
      <c r="I178">
        <v>98801177</v>
      </c>
      <c r="J178">
        <v>2.7730000000000001</v>
      </c>
      <c r="K178">
        <v>10422</v>
      </c>
      <c r="L178">
        <v>104078260</v>
      </c>
      <c r="M178">
        <v>352661</v>
      </c>
      <c r="N178">
        <v>4924422</v>
      </c>
      <c r="O178">
        <v>296455</v>
      </c>
      <c r="P178">
        <v>4542196</v>
      </c>
      <c r="Q178">
        <v>85771</v>
      </c>
      <c r="S178">
        <v>0</v>
      </c>
      <c r="T178">
        <v>677410</v>
      </c>
      <c r="U178">
        <v>67740</v>
      </c>
      <c r="V178">
        <v>0.39269999999999999</v>
      </c>
      <c r="W178">
        <v>0.38419999999999999</v>
      </c>
      <c r="X178">
        <v>0.44579999999999997</v>
      </c>
      <c r="Z178">
        <v>10421.75</v>
      </c>
      <c r="AB178">
        <v>10423.59</v>
      </c>
      <c r="AD178">
        <v>10423.040000000001</v>
      </c>
      <c r="AF178" t="s">
        <v>182</v>
      </c>
      <c r="AG178" t="s">
        <v>185</v>
      </c>
      <c r="AI178" t="s">
        <v>186</v>
      </c>
      <c r="AJ178" t="s">
        <v>717</v>
      </c>
      <c r="AK178" t="s">
        <v>188</v>
      </c>
    </row>
    <row r="179" spans="1:37" x14ac:dyDescent="0.3">
      <c r="A179">
        <v>8008</v>
      </c>
      <c r="B179" s="207">
        <v>46121</v>
      </c>
      <c r="C179" t="s">
        <v>438</v>
      </c>
      <c r="D179" t="s">
        <v>718</v>
      </c>
      <c r="E179" t="s">
        <v>719</v>
      </c>
      <c r="F179" s="207">
        <v>46295</v>
      </c>
      <c r="G179">
        <v>1.05</v>
      </c>
      <c r="H179">
        <v>1142</v>
      </c>
      <c r="I179">
        <v>1128131</v>
      </c>
      <c r="J179">
        <v>2.81</v>
      </c>
      <c r="K179">
        <v>10397</v>
      </c>
      <c r="L179">
        <v>1187337</v>
      </c>
      <c r="M179">
        <v>3921</v>
      </c>
      <c r="N179">
        <v>55285</v>
      </c>
      <c r="O179">
        <v>3388</v>
      </c>
      <c r="P179">
        <v>25758</v>
      </c>
      <c r="Q179">
        <v>26139</v>
      </c>
      <c r="S179">
        <v>0</v>
      </c>
      <c r="T179">
        <v>4080</v>
      </c>
      <c r="U179">
        <v>400</v>
      </c>
      <c r="V179">
        <v>0.47489999999999999</v>
      </c>
      <c r="W179">
        <v>0.4641666666</v>
      </c>
      <c r="X179">
        <v>0.58816666660000005</v>
      </c>
      <c r="Z179">
        <v>10396.25</v>
      </c>
      <c r="AB179">
        <v>10398.09</v>
      </c>
      <c r="AD179">
        <v>10398.34</v>
      </c>
      <c r="AF179" t="s">
        <v>182</v>
      </c>
      <c r="AG179" t="s">
        <v>185</v>
      </c>
      <c r="AI179" t="s">
        <v>186</v>
      </c>
      <c r="AJ179" t="s">
        <v>720</v>
      </c>
      <c r="AK179" t="s">
        <v>188</v>
      </c>
    </row>
    <row r="180" spans="1:37" x14ac:dyDescent="0.3">
      <c r="A180">
        <v>8008</v>
      </c>
      <c r="B180" s="207">
        <v>46121</v>
      </c>
      <c r="C180" t="s">
        <v>438</v>
      </c>
      <c r="D180" t="s">
        <v>721</v>
      </c>
      <c r="E180" t="s">
        <v>722</v>
      </c>
      <c r="F180" s="207">
        <v>46783</v>
      </c>
      <c r="G180">
        <v>2.5</v>
      </c>
      <c r="H180">
        <v>82855</v>
      </c>
      <c r="I180">
        <v>82050708</v>
      </c>
      <c r="J180">
        <v>3.25</v>
      </c>
      <c r="K180">
        <v>10676</v>
      </c>
      <c r="L180">
        <v>88455995</v>
      </c>
      <c r="M180">
        <v>-382956</v>
      </c>
      <c r="N180">
        <v>6788243</v>
      </c>
      <c r="O180">
        <v>598376</v>
      </c>
      <c r="P180">
        <v>3603913</v>
      </c>
      <c r="Q180">
        <v>2585954</v>
      </c>
      <c r="S180">
        <v>0</v>
      </c>
      <c r="T180">
        <v>588290</v>
      </c>
      <c r="U180">
        <v>58810</v>
      </c>
      <c r="V180">
        <v>1.8119000000000001</v>
      </c>
      <c r="W180">
        <v>1.7564333333</v>
      </c>
      <c r="X180">
        <v>4.7390333333000001</v>
      </c>
      <c r="Z180">
        <v>10673.66</v>
      </c>
      <c r="AB180">
        <v>10680.12</v>
      </c>
      <c r="AD180">
        <v>10675.72</v>
      </c>
      <c r="AF180" t="s">
        <v>182</v>
      </c>
      <c r="AG180" t="s">
        <v>185</v>
      </c>
      <c r="AI180" t="s">
        <v>186</v>
      </c>
      <c r="AJ180" t="s">
        <v>723</v>
      </c>
      <c r="AK180" t="s">
        <v>188</v>
      </c>
    </row>
    <row r="181" spans="1:37" x14ac:dyDescent="0.3">
      <c r="A181">
        <v>8008</v>
      </c>
      <c r="B181" s="207">
        <v>46121</v>
      </c>
      <c r="C181" t="s">
        <v>438</v>
      </c>
      <c r="D181" t="s">
        <v>724</v>
      </c>
      <c r="E181" t="s">
        <v>725</v>
      </c>
      <c r="F181" s="207">
        <v>46934</v>
      </c>
      <c r="G181">
        <v>2.5</v>
      </c>
      <c r="H181">
        <v>7937</v>
      </c>
      <c r="I181">
        <v>7821464</v>
      </c>
      <c r="J181">
        <v>3.3290000000000002</v>
      </c>
      <c r="K181">
        <v>10518</v>
      </c>
      <c r="L181">
        <v>8348136</v>
      </c>
      <c r="M181">
        <v>-36900</v>
      </c>
      <c r="N181">
        <v>563572</v>
      </c>
      <c r="O181">
        <v>56742</v>
      </c>
      <c r="P181">
        <v>333066</v>
      </c>
      <c r="Q181">
        <v>173764</v>
      </c>
      <c r="S181">
        <v>0</v>
      </c>
      <c r="T181">
        <v>54570</v>
      </c>
      <c r="U181">
        <v>5450</v>
      </c>
      <c r="V181">
        <v>2.2237666666</v>
      </c>
      <c r="W181">
        <v>2.1530333332999998</v>
      </c>
      <c r="X181">
        <v>6.6643333333000001</v>
      </c>
      <c r="Z181">
        <v>10516.97</v>
      </c>
      <c r="AB181">
        <v>10522.72</v>
      </c>
      <c r="AD181">
        <v>10516.97</v>
      </c>
      <c r="AF181" t="s">
        <v>182</v>
      </c>
      <c r="AG181" t="s">
        <v>185</v>
      </c>
      <c r="AI181" t="s">
        <v>186</v>
      </c>
      <c r="AJ181" t="s">
        <v>726</v>
      </c>
      <c r="AK181" t="s">
        <v>188</v>
      </c>
    </row>
    <row r="182" spans="1:37" x14ac:dyDescent="0.3">
      <c r="A182">
        <v>8008</v>
      </c>
      <c r="B182" s="207">
        <v>46121</v>
      </c>
      <c r="C182" t="s">
        <v>438</v>
      </c>
      <c r="D182" t="s">
        <v>727</v>
      </c>
      <c r="E182" t="s">
        <v>728</v>
      </c>
      <c r="F182" s="207">
        <v>47026</v>
      </c>
      <c r="G182">
        <v>2.5</v>
      </c>
      <c r="H182">
        <v>5</v>
      </c>
      <c r="I182">
        <v>4913</v>
      </c>
      <c r="J182">
        <v>3.3679999999999999</v>
      </c>
      <c r="K182">
        <v>10422</v>
      </c>
      <c r="L182">
        <v>5211</v>
      </c>
      <c r="M182">
        <v>-23</v>
      </c>
      <c r="N182">
        <v>321</v>
      </c>
      <c r="O182">
        <v>243</v>
      </c>
      <c r="P182">
        <v>0</v>
      </c>
      <c r="Q182">
        <v>78</v>
      </c>
      <c r="S182">
        <v>0</v>
      </c>
      <c r="T182">
        <v>30</v>
      </c>
      <c r="U182">
        <v>0</v>
      </c>
      <c r="V182">
        <v>2.4758</v>
      </c>
      <c r="W182">
        <v>2.3969333332999998</v>
      </c>
      <c r="X182">
        <v>7.9860333333</v>
      </c>
      <c r="Z182">
        <v>10420.85</v>
      </c>
      <c r="AB182">
        <v>10426.18</v>
      </c>
      <c r="AD182">
        <v>10420.1</v>
      </c>
      <c r="AF182" t="s">
        <v>182</v>
      </c>
      <c r="AG182" t="s">
        <v>185</v>
      </c>
      <c r="AI182" t="s">
        <v>186</v>
      </c>
      <c r="AJ182" t="s">
        <v>729</v>
      </c>
      <c r="AK182" t="s">
        <v>188</v>
      </c>
    </row>
    <row r="183" spans="1:37" x14ac:dyDescent="0.3">
      <c r="A183">
        <v>8008</v>
      </c>
      <c r="B183" s="207">
        <v>46121</v>
      </c>
      <c r="C183" t="s">
        <v>438</v>
      </c>
      <c r="D183" t="s">
        <v>730</v>
      </c>
      <c r="E183" t="s">
        <v>731</v>
      </c>
      <c r="F183" s="207">
        <v>47057</v>
      </c>
      <c r="G183">
        <v>2.5</v>
      </c>
      <c r="H183">
        <v>95327</v>
      </c>
      <c r="I183">
        <v>93559546</v>
      </c>
      <c r="J183">
        <v>3.3929999999999998</v>
      </c>
      <c r="K183">
        <v>10386</v>
      </c>
      <c r="L183">
        <v>99006621</v>
      </c>
      <c r="M183">
        <v>-475662</v>
      </c>
      <c r="N183">
        <v>5922737</v>
      </c>
      <c r="O183">
        <v>675849</v>
      </c>
      <c r="P183">
        <v>5028070</v>
      </c>
      <c r="Q183">
        <v>218818</v>
      </c>
      <c r="S183">
        <v>0</v>
      </c>
      <c r="T183">
        <v>798530</v>
      </c>
      <c r="U183">
        <v>79830</v>
      </c>
      <c r="V183">
        <v>2.5607000000000002</v>
      </c>
      <c r="W183">
        <v>2.4784666666000001</v>
      </c>
      <c r="X183">
        <v>8.4631333333000001</v>
      </c>
      <c r="Z183">
        <v>10385.35</v>
      </c>
      <c r="AB183">
        <v>10390.07</v>
      </c>
      <c r="AD183">
        <v>10384.06</v>
      </c>
      <c r="AF183" t="s">
        <v>182</v>
      </c>
      <c r="AG183" t="s">
        <v>185</v>
      </c>
      <c r="AI183" t="s">
        <v>186</v>
      </c>
      <c r="AJ183" t="s">
        <v>732</v>
      </c>
      <c r="AK183" t="s">
        <v>188</v>
      </c>
    </row>
    <row r="184" spans="1:37" x14ac:dyDescent="0.3">
      <c r="A184">
        <v>8008</v>
      </c>
      <c r="B184" s="207">
        <v>46121</v>
      </c>
      <c r="C184" t="s">
        <v>438</v>
      </c>
      <c r="D184" t="s">
        <v>733</v>
      </c>
      <c r="E184" t="s">
        <v>734</v>
      </c>
      <c r="F184" s="207">
        <v>47514</v>
      </c>
      <c r="G184">
        <v>2.5</v>
      </c>
      <c r="H184">
        <v>30088</v>
      </c>
      <c r="I184">
        <v>29124527</v>
      </c>
      <c r="J184">
        <v>3.5739999999999998</v>
      </c>
      <c r="K184">
        <v>9895</v>
      </c>
      <c r="L184">
        <v>29772076</v>
      </c>
      <c r="M184">
        <v>-248944</v>
      </c>
      <c r="N184">
        <v>896493</v>
      </c>
      <c r="O184">
        <v>206823</v>
      </c>
      <c r="P184">
        <v>574321</v>
      </c>
      <c r="Q184">
        <v>115349</v>
      </c>
      <c r="S184">
        <v>0</v>
      </c>
      <c r="T184">
        <v>109340</v>
      </c>
      <c r="U184">
        <v>10910</v>
      </c>
      <c r="V184">
        <v>3.8128000000000002</v>
      </c>
      <c r="W184">
        <v>3.6819999999999999</v>
      </c>
      <c r="X184">
        <v>17.0657</v>
      </c>
      <c r="Z184">
        <v>9889.7000000000007</v>
      </c>
      <c r="AB184">
        <v>9902.9</v>
      </c>
      <c r="AD184">
        <v>9894.7999999999993</v>
      </c>
      <c r="AF184" t="s">
        <v>182</v>
      </c>
      <c r="AG184" t="s">
        <v>185</v>
      </c>
      <c r="AI184" t="s">
        <v>186</v>
      </c>
      <c r="AJ184" t="s">
        <v>735</v>
      </c>
      <c r="AK184" t="s">
        <v>188</v>
      </c>
    </row>
    <row r="185" spans="1:37" x14ac:dyDescent="0.3">
      <c r="A185">
        <v>8008</v>
      </c>
      <c r="B185" s="207">
        <v>46121</v>
      </c>
      <c r="C185" t="s">
        <v>438</v>
      </c>
      <c r="D185" t="s">
        <v>736</v>
      </c>
      <c r="E185" t="s">
        <v>737</v>
      </c>
      <c r="F185" s="207">
        <v>46142</v>
      </c>
      <c r="G185">
        <v>1.05</v>
      </c>
      <c r="H185">
        <v>110</v>
      </c>
      <c r="I185">
        <v>108444</v>
      </c>
      <c r="J185">
        <v>2.637</v>
      </c>
      <c r="K185">
        <v>10520</v>
      </c>
      <c r="L185">
        <v>115720</v>
      </c>
      <c r="M185">
        <v>1445</v>
      </c>
      <c r="N185">
        <v>5831</v>
      </c>
      <c r="O185">
        <v>282</v>
      </c>
      <c r="P185">
        <v>0</v>
      </c>
      <c r="Q185">
        <v>5549</v>
      </c>
      <c r="S185">
        <v>0</v>
      </c>
      <c r="T185">
        <v>30</v>
      </c>
      <c r="U185">
        <v>0</v>
      </c>
      <c r="V185">
        <v>5.57E-2</v>
      </c>
      <c r="W185">
        <v>5.4699999999999999E-2</v>
      </c>
      <c r="X185">
        <v>3.9533333300000001E-2</v>
      </c>
      <c r="Z185">
        <v>10520.55</v>
      </c>
      <c r="AB185">
        <v>10521.14</v>
      </c>
      <c r="AD185">
        <v>10520.83</v>
      </c>
      <c r="AF185" t="s">
        <v>182</v>
      </c>
      <c r="AG185" t="s">
        <v>185</v>
      </c>
      <c r="AI185" t="s">
        <v>186</v>
      </c>
      <c r="AJ185" t="s">
        <v>738</v>
      </c>
      <c r="AK185" t="s">
        <v>188</v>
      </c>
    </row>
    <row r="186" spans="1:37" x14ac:dyDescent="0.3">
      <c r="A186">
        <v>8008</v>
      </c>
      <c r="B186" s="207">
        <v>46121</v>
      </c>
      <c r="C186" t="s">
        <v>438</v>
      </c>
      <c r="D186" t="s">
        <v>739</v>
      </c>
      <c r="E186" t="s">
        <v>740</v>
      </c>
      <c r="F186" s="207">
        <v>46326</v>
      </c>
      <c r="G186">
        <v>1.05</v>
      </c>
      <c r="H186">
        <v>4700</v>
      </c>
      <c r="I186">
        <v>4636467</v>
      </c>
      <c r="J186">
        <v>2.835</v>
      </c>
      <c r="K186">
        <v>10371</v>
      </c>
      <c r="L186">
        <v>4874370</v>
      </c>
      <c r="M186">
        <v>14742</v>
      </c>
      <c r="N186">
        <v>223161</v>
      </c>
      <c r="O186">
        <v>13928</v>
      </c>
      <c r="P186">
        <v>205196</v>
      </c>
      <c r="Q186">
        <v>4037</v>
      </c>
      <c r="S186">
        <v>0</v>
      </c>
      <c r="T186">
        <v>30670</v>
      </c>
      <c r="U186">
        <v>3060</v>
      </c>
      <c r="V186">
        <v>0.55979999999999996</v>
      </c>
      <c r="W186">
        <v>0.54663333329999997</v>
      </c>
      <c r="X186">
        <v>0.75286666660000001</v>
      </c>
      <c r="Z186">
        <v>10370.69</v>
      </c>
      <c r="AB186">
        <v>10372.08</v>
      </c>
      <c r="AD186">
        <v>10372.34</v>
      </c>
      <c r="AF186" t="s">
        <v>182</v>
      </c>
      <c r="AG186" t="s">
        <v>185</v>
      </c>
      <c r="AI186" t="s">
        <v>186</v>
      </c>
      <c r="AJ186" t="s">
        <v>741</v>
      </c>
      <c r="AK186" t="s">
        <v>188</v>
      </c>
    </row>
    <row r="187" spans="1:37" x14ac:dyDescent="0.3">
      <c r="A187">
        <v>8008</v>
      </c>
      <c r="B187" s="207">
        <v>46121</v>
      </c>
      <c r="C187" t="s">
        <v>438</v>
      </c>
      <c r="D187" t="s">
        <v>742</v>
      </c>
      <c r="E187" t="s">
        <v>743</v>
      </c>
      <c r="F187" s="207">
        <v>46356</v>
      </c>
      <c r="G187">
        <v>1.05</v>
      </c>
      <c r="H187">
        <v>8000</v>
      </c>
      <c r="I187">
        <v>7879829</v>
      </c>
      <c r="J187">
        <v>2.8540000000000001</v>
      </c>
      <c r="K187">
        <v>10346</v>
      </c>
      <c r="L187">
        <v>8276800</v>
      </c>
      <c r="M187">
        <v>24313</v>
      </c>
      <c r="N187">
        <v>372658</v>
      </c>
      <c r="O187">
        <v>23687</v>
      </c>
      <c r="P187">
        <v>342329</v>
      </c>
      <c r="Q187">
        <v>6642</v>
      </c>
      <c r="S187">
        <v>0</v>
      </c>
      <c r="T187">
        <v>51240</v>
      </c>
      <c r="U187">
        <v>5120</v>
      </c>
      <c r="V187">
        <v>0.64200000000000002</v>
      </c>
      <c r="W187">
        <v>0.62626666659999997</v>
      </c>
      <c r="X187">
        <v>0.92920000000000003</v>
      </c>
      <c r="Z187">
        <v>10346.290000000001</v>
      </c>
      <c r="AB187">
        <v>10347.15</v>
      </c>
      <c r="AD187">
        <v>10346.75</v>
      </c>
      <c r="AF187" t="s">
        <v>182</v>
      </c>
      <c r="AG187" t="s">
        <v>185</v>
      </c>
      <c r="AI187" t="s">
        <v>186</v>
      </c>
      <c r="AJ187" t="s">
        <v>744</v>
      </c>
      <c r="AK187" t="s">
        <v>188</v>
      </c>
    </row>
    <row r="188" spans="1:37" x14ac:dyDescent="0.3">
      <c r="A188">
        <v>8008</v>
      </c>
      <c r="B188" s="207">
        <v>46121</v>
      </c>
      <c r="C188" t="s">
        <v>438</v>
      </c>
      <c r="D188" t="s">
        <v>745</v>
      </c>
      <c r="E188" t="s">
        <v>746</v>
      </c>
      <c r="F188" s="207">
        <v>46387</v>
      </c>
      <c r="G188">
        <v>1.05</v>
      </c>
      <c r="H188">
        <v>60</v>
      </c>
      <c r="I188">
        <v>59011</v>
      </c>
      <c r="J188">
        <v>2.879</v>
      </c>
      <c r="K188">
        <v>10320</v>
      </c>
      <c r="L188">
        <v>61920</v>
      </c>
      <c r="M188">
        <v>170</v>
      </c>
      <c r="N188">
        <v>2739</v>
      </c>
      <c r="O188">
        <v>178</v>
      </c>
      <c r="P188">
        <v>1043</v>
      </c>
      <c r="Q188">
        <v>1518</v>
      </c>
      <c r="S188">
        <v>0</v>
      </c>
      <c r="T188">
        <v>170</v>
      </c>
      <c r="U188">
        <v>10</v>
      </c>
      <c r="V188">
        <v>0.72693333329999998</v>
      </c>
      <c r="W188">
        <v>0.70840000000000003</v>
      </c>
      <c r="X188">
        <v>1.1285666666</v>
      </c>
      <c r="Z188">
        <v>10319.76</v>
      </c>
      <c r="AB188">
        <v>10321.15</v>
      </c>
      <c r="AD188">
        <v>10319.91</v>
      </c>
      <c r="AF188" t="s">
        <v>182</v>
      </c>
      <c r="AG188" t="s">
        <v>185</v>
      </c>
      <c r="AI188" t="s">
        <v>186</v>
      </c>
      <c r="AJ188" t="s">
        <v>747</v>
      </c>
      <c r="AK188" t="s">
        <v>188</v>
      </c>
    </row>
    <row r="189" spans="1:37" x14ac:dyDescent="0.3">
      <c r="A189">
        <v>8008</v>
      </c>
      <c r="B189" s="207">
        <v>46121</v>
      </c>
      <c r="C189" t="s">
        <v>438</v>
      </c>
      <c r="D189" t="s">
        <v>748</v>
      </c>
      <c r="E189" t="s">
        <v>749</v>
      </c>
      <c r="F189" s="207">
        <v>46446</v>
      </c>
      <c r="G189">
        <v>1.05</v>
      </c>
      <c r="H189">
        <v>21293</v>
      </c>
      <c r="I189">
        <v>20304774</v>
      </c>
      <c r="J189">
        <v>2.9510000000000001</v>
      </c>
      <c r="K189">
        <v>10267</v>
      </c>
      <c r="L189">
        <v>21861523</v>
      </c>
      <c r="M189">
        <v>622196</v>
      </c>
      <c r="N189">
        <v>934553</v>
      </c>
      <c r="O189">
        <v>39213</v>
      </c>
      <c r="P189">
        <v>76960</v>
      </c>
      <c r="Q189">
        <v>818380</v>
      </c>
      <c r="S189">
        <v>0</v>
      </c>
      <c r="T189">
        <v>16250</v>
      </c>
      <c r="U189">
        <v>1610</v>
      </c>
      <c r="V189">
        <v>0.88859999999999995</v>
      </c>
      <c r="W189">
        <v>0.86403333329999998</v>
      </c>
      <c r="X189">
        <v>1.5551999999999999</v>
      </c>
      <c r="Z189">
        <v>10266.959999999999</v>
      </c>
      <c r="AB189">
        <v>10267.450000000001</v>
      </c>
      <c r="AD189">
        <v>10266.780000000001</v>
      </c>
      <c r="AF189" t="s">
        <v>182</v>
      </c>
      <c r="AG189" t="s">
        <v>185</v>
      </c>
      <c r="AI189" t="s">
        <v>186</v>
      </c>
      <c r="AJ189" t="s">
        <v>750</v>
      </c>
      <c r="AK189" t="s">
        <v>188</v>
      </c>
    </row>
    <row r="190" spans="1:37" x14ac:dyDescent="0.3">
      <c r="A190">
        <v>8008</v>
      </c>
      <c r="B190" s="207">
        <v>46121</v>
      </c>
      <c r="C190" t="s">
        <v>438</v>
      </c>
      <c r="D190" t="s">
        <v>751</v>
      </c>
      <c r="E190" t="s">
        <v>752</v>
      </c>
      <c r="F190" s="207">
        <v>46477</v>
      </c>
      <c r="G190">
        <v>1.05</v>
      </c>
      <c r="H190">
        <v>12885</v>
      </c>
      <c r="I190">
        <v>12609082</v>
      </c>
      <c r="J190">
        <v>2.9889999999999999</v>
      </c>
      <c r="K190">
        <v>10238</v>
      </c>
      <c r="L190">
        <v>13191663</v>
      </c>
      <c r="M190">
        <v>28983</v>
      </c>
      <c r="N190">
        <v>553598</v>
      </c>
      <c r="O190">
        <v>38019</v>
      </c>
      <c r="P190">
        <v>504882</v>
      </c>
      <c r="Q190">
        <v>10697</v>
      </c>
      <c r="S190">
        <v>0</v>
      </c>
      <c r="T190">
        <v>76000</v>
      </c>
      <c r="U190">
        <v>7600</v>
      </c>
      <c r="V190">
        <v>0.97350000000000003</v>
      </c>
      <c r="W190">
        <v>0.94550000000000001</v>
      </c>
      <c r="X190">
        <v>1.8039000000000001</v>
      </c>
      <c r="Z190">
        <v>10239.23</v>
      </c>
      <c r="AB190">
        <v>10237.719999999999</v>
      </c>
      <c r="AD190">
        <v>10238.06</v>
      </c>
      <c r="AF190" t="s">
        <v>182</v>
      </c>
      <c r="AG190" t="s">
        <v>185</v>
      </c>
      <c r="AI190" t="s">
        <v>186</v>
      </c>
      <c r="AJ190" t="s">
        <v>753</v>
      </c>
      <c r="AK190" t="s">
        <v>188</v>
      </c>
    </row>
    <row r="191" spans="1:37" x14ac:dyDescent="0.3">
      <c r="A191">
        <v>8008</v>
      </c>
      <c r="B191" s="207">
        <v>46121</v>
      </c>
      <c r="C191" t="s">
        <v>438</v>
      </c>
      <c r="D191" t="s">
        <v>754</v>
      </c>
      <c r="E191" t="s">
        <v>755</v>
      </c>
      <c r="F191" s="207">
        <v>46507</v>
      </c>
      <c r="G191">
        <v>1.05</v>
      </c>
      <c r="H191">
        <v>1034</v>
      </c>
      <c r="I191">
        <v>1010093</v>
      </c>
      <c r="J191">
        <v>3.02</v>
      </c>
      <c r="K191">
        <v>10210</v>
      </c>
      <c r="L191">
        <v>1055714</v>
      </c>
      <c r="M191">
        <v>2122</v>
      </c>
      <c r="N191">
        <v>43499</v>
      </c>
      <c r="O191">
        <v>3048</v>
      </c>
      <c r="P191">
        <v>39475</v>
      </c>
      <c r="Q191">
        <v>976</v>
      </c>
      <c r="S191">
        <v>0</v>
      </c>
      <c r="T191">
        <v>5950</v>
      </c>
      <c r="U191">
        <v>590</v>
      </c>
      <c r="V191">
        <v>1.0557000000000001</v>
      </c>
      <c r="W191">
        <v>1.0252666666000001</v>
      </c>
      <c r="X191">
        <v>2.0296666665999998</v>
      </c>
      <c r="Z191">
        <v>10210.969999999999</v>
      </c>
      <c r="AB191">
        <v>10209.64</v>
      </c>
      <c r="AD191">
        <v>10210.030000000001</v>
      </c>
      <c r="AF191" t="s">
        <v>182</v>
      </c>
      <c r="AG191" t="s">
        <v>185</v>
      </c>
      <c r="AI191" t="s">
        <v>186</v>
      </c>
      <c r="AJ191" t="s">
        <v>756</v>
      </c>
      <c r="AK191" t="s">
        <v>188</v>
      </c>
    </row>
    <row r="192" spans="1:37" x14ac:dyDescent="0.3">
      <c r="A192">
        <v>8008</v>
      </c>
      <c r="B192" s="207">
        <v>46121</v>
      </c>
      <c r="C192" t="s">
        <v>438</v>
      </c>
      <c r="D192" t="s">
        <v>757</v>
      </c>
      <c r="E192" t="s">
        <v>758</v>
      </c>
      <c r="F192" s="207">
        <v>46568</v>
      </c>
      <c r="G192">
        <v>1.05</v>
      </c>
      <c r="H192">
        <v>12400</v>
      </c>
      <c r="I192">
        <v>12068808</v>
      </c>
      <c r="J192">
        <v>3.0779999999999998</v>
      </c>
      <c r="K192">
        <v>10152</v>
      </c>
      <c r="L192">
        <v>12588480</v>
      </c>
      <c r="M192">
        <v>20548</v>
      </c>
      <c r="N192">
        <v>499124</v>
      </c>
      <c r="O192">
        <v>36492</v>
      </c>
      <c r="P192">
        <v>436043</v>
      </c>
      <c r="Q192">
        <v>26589</v>
      </c>
      <c r="S192">
        <v>0</v>
      </c>
      <c r="T192">
        <v>66130</v>
      </c>
      <c r="U192">
        <v>6590</v>
      </c>
      <c r="V192">
        <v>1.2228333333000001</v>
      </c>
      <c r="W192">
        <v>1.1880333332999999</v>
      </c>
      <c r="X192">
        <v>2.5088333333000001</v>
      </c>
      <c r="Z192">
        <v>10151.92</v>
      </c>
      <c r="AB192">
        <v>10152.41</v>
      </c>
      <c r="AD192">
        <v>10151.92</v>
      </c>
      <c r="AF192" t="s">
        <v>182</v>
      </c>
      <c r="AG192" t="s">
        <v>185</v>
      </c>
      <c r="AI192" t="s">
        <v>186</v>
      </c>
      <c r="AJ192" t="s">
        <v>759</v>
      </c>
      <c r="AK192" t="s">
        <v>188</v>
      </c>
    </row>
    <row r="193" spans="1:37" x14ac:dyDescent="0.3">
      <c r="A193">
        <v>8008</v>
      </c>
      <c r="B193" s="207">
        <v>46121</v>
      </c>
      <c r="C193" t="s">
        <v>438</v>
      </c>
      <c r="D193" t="s">
        <v>760</v>
      </c>
      <c r="E193" t="s">
        <v>761</v>
      </c>
      <c r="F193" s="207">
        <v>46599</v>
      </c>
      <c r="G193">
        <v>1.05</v>
      </c>
      <c r="H193">
        <v>87917</v>
      </c>
      <c r="I193">
        <v>85412309</v>
      </c>
      <c r="J193">
        <v>3.1059999999999999</v>
      </c>
      <c r="K193">
        <v>10122</v>
      </c>
      <c r="L193">
        <v>88989586</v>
      </c>
      <c r="M193">
        <v>119536</v>
      </c>
      <c r="N193">
        <v>3457741</v>
      </c>
      <c r="O193">
        <v>258507</v>
      </c>
      <c r="P193">
        <v>3065792</v>
      </c>
      <c r="Q193">
        <v>133442</v>
      </c>
      <c r="S193">
        <v>0</v>
      </c>
      <c r="T193">
        <v>465390</v>
      </c>
      <c r="U193">
        <v>46530</v>
      </c>
      <c r="V193">
        <v>1.3077333333000001</v>
      </c>
      <c r="W193">
        <v>1.2705</v>
      </c>
      <c r="X193">
        <v>2.7788333333000002</v>
      </c>
      <c r="Z193">
        <v>10121.36</v>
      </c>
      <c r="AB193">
        <v>10122.91</v>
      </c>
      <c r="AD193">
        <v>10122</v>
      </c>
      <c r="AF193" t="s">
        <v>182</v>
      </c>
      <c r="AG193" t="s">
        <v>185</v>
      </c>
      <c r="AI193" t="s">
        <v>186</v>
      </c>
      <c r="AJ193" t="s">
        <v>762</v>
      </c>
      <c r="AK193" t="s">
        <v>188</v>
      </c>
    </row>
    <row r="194" spans="1:37" x14ac:dyDescent="0.3">
      <c r="A194">
        <v>8008</v>
      </c>
      <c r="B194" s="207">
        <v>46121</v>
      </c>
      <c r="C194" t="s">
        <v>438</v>
      </c>
      <c r="D194" t="s">
        <v>763</v>
      </c>
      <c r="E194" t="s">
        <v>764</v>
      </c>
      <c r="F194" s="207">
        <v>46660</v>
      </c>
      <c r="G194">
        <v>1.05</v>
      </c>
      <c r="H194">
        <v>40100</v>
      </c>
      <c r="I194">
        <v>38821545</v>
      </c>
      <c r="J194">
        <v>3.16</v>
      </c>
      <c r="K194">
        <v>10062</v>
      </c>
      <c r="L194">
        <v>40348620</v>
      </c>
      <c r="M194">
        <v>22648</v>
      </c>
      <c r="N194">
        <v>1504427</v>
      </c>
      <c r="O194">
        <v>117702</v>
      </c>
      <c r="P194">
        <v>1355713</v>
      </c>
      <c r="Q194">
        <v>31012</v>
      </c>
      <c r="S194">
        <v>0</v>
      </c>
      <c r="T194">
        <v>206270</v>
      </c>
      <c r="U194">
        <v>20620</v>
      </c>
      <c r="V194">
        <v>1.4749000000000001</v>
      </c>
      <c r="W194">
        <v>1.4322333332999999</v>
      </c>
      <c r="X194">
        <v>3.3613</v>
      </c>
      <c r="Z194">
        <v>10061.24</v>
      </c>
      <c r="AB194">
        <v>10064.27</v>
      </c>
      <c r="AD194">
        <v>10061.969999999999</v>
      </c>
      <c r="AF194" t="s">
        <v>182</v>
      </c>
      <c r="AG194" t="s">
        <v>185</v>
      </c>
      <c r="AI194" t="s">
        <v>186</v>
      </c>
      <c r="AJ194" t="s">
        <v>765</v>
      </c>
      <c r="AK194" t="s">
        <v>188</v>
      </c>
    </row>
    <row r="195" spans="1:37" x14ac:dyDescent="0.3">
      <c r="A195">
        <v>8008</v>
      </c>
      <c r="B195" s="207">
        <v>46121</v>
      </c>
      <c r="C195" t="s">
        <v>438</v>
      </c>
      <c r="D195" t="s">
        <v>766</v>
      </c>
      <c r="E195" t="s">
        <v>767</v>
      </c>
      <c r="F195" s="207">
        <v>46691</v>
      </c>
      <c r="G195">
        <v>1.05</v>
      </c>
      <c r="H195">
        <v>23687</v>
      </c>
      <c r="I195">
        <v>22889596</v>
      </c>
      <c r="J195">
        <v>3.1850000000000001</v>
      </c>
      <c r="K195">
        <v>10032</v>
      </c>
      <c r="L195">
        <v>23762798</v>
      </c>
      <c r="M195">
        <v>6333</v>
      </c>
      <c r="N195">
        <v>866869</v>
      </c>
      <c r="O195">
        <v>69465</v>
      </c>
      <c r="P195">
        <v>584480</v>
      </c>
      <c r="Q195">
        <v>212924</v>
      </c>
      <c r="S195">
        <v>0</v>
      </c>
      <c r="T195">
        <v>91540</v>
      </c>
      <c r="U195">
        <v>9150</v>
      </c>
      <c r="V195">
        <v>1.5598000000000001</v>
      </c>
      <c r="W195">
        <v>1.5141333333</v>
      </c>
      <c r="X195">
        <v>3.6831666666</v>
      </c>
      <c r="Z195">
        <v>10030.370000000001</v>
      </c>
      <c r="AB195">
        <v>10034.459999999999</v>
      </c>
      <c r="AD195">
        <v>10031.74</v>
      </c>
      <c r="AF195" t="s">
        <v>182</v>
      </c>
      <c r="AG195" t="s">
        <v>185</v>
      </c>
      <c r="AI195" t="s">
        <v>186</v>
      </c>
      <c r="AJ195" t="s">
        <v>768</v>
      </c>
      <c r="AK195" t="s">
        <v>188</v>
      </c>
    </row>
    <row r="196" spans="1:37" x14ac:dyDescent="0.3">
      <c r="A196">
        <v>8008</v>
      </c>
      <c r="B196" s="207">
        <v>46121</v>
      </c>
      <c r="C196" t="s">
        <v>438</v>
      </c>
      <c r="D196" t="s">
        <v>769</v>
      </c>
      <c r="E196" t="s">
        <v>770</v>
      </c>
      <c r="F196" s="207">
        <v>46752</v>
      </c>
      <c r="G196">
        <v>1.05</v>
      </c>
      <c r="H196">
        <v>3020</v>
      </c>
      <c r="I196">
        <v>2750569</v>
      </c>
      <c r="J196">
        <v>3.2290000000000001</v>
      </c>
      <c r="K196">
        <v>9972</v>
      </c>
      <c r="L196">
        <v>3011544</v>
      </c>
      <c r="M196">
        <v>155913</v>
      </c>
      <c r="N196">
        <v>105062</v>
      </c>
      <c r="O196">
        <v>7771</v>
      </c>
      <c r="P196">
        <v>0</v>
      </c>
      <c r="Q196">
        <v>97291</v>
      </c>
      <c r="S196">
        <v>0</v>
      </c>
      <c r="T196">
        <v>1080</v>
      </c>
      <c r="U196">
        <v>100</v>
      </c>
      <c r="V196">
        <v>1.7269333333000001</v>
      </c>
      <c r="W196">
        <v>1.6749333333</v>
      </c>
      <c r="X196">
        <v>4.3666333333000003</v>
      </c>
      <c r="Z196">
        <v>9970.1299999999992</v>
      </c>
      <c r="AB196">
        <v>9975.7800000000007</v>
      </c>
      <c r="AD196">
        <v>9972.1299999999992</v>
      </c>
      <c r="AF196" t="s">
        <v>182</v>
      </c>
      <c r="AG196" t="s">
        <v>185</v>
      </c>
      <c r="AI196" t="s">
        <v>186</v>
      </c>
      <c r="AJ196" t="s">
        <v>771</v>
      </c>
      <c r="AK196" t="s">
        <v>188</v>
      </c>
    </row>
    <row r="197" spans="1:37" x14ac:dyDescent="0.3">
      <c r="A197">
        <v>8008</v>
      </c>
      <c r="B197" s="207">
        <v>46121</v>
      </c>
      <c r="C197" t="s">
        <v>438</v>
      </c>
      <c r="D197" t="s">
        <v>772</v>
      </c>
      <c r="E197" t="s">
        <v>773</v>
      </c>
      <c r="F197" s="207">
        <v>46873</v>
      </c>
      <c r="G197">
        <v>2.5</v>
      </c>
      <c r="H197">
        <v>1110</v>
      </c>
      <c r="I197">
        <v>1096063</v>
      </c>
      <c r="J197">
        <v>3.3050000000000002</v>
      </c>
      <c r="K197">
        <v>10582</v>
      </c>
      <c r="L197">
        <v>1174602</v>
      </c>
      <c r="M197">
        <v>-5193</v>
      </c>
      <c r="N197">
        <v>83732</v>
      </c>
      <c r="O197">
        <v>7968</v>
      </c>
      <c r="P197">
        <v>59166</v>
      </c>
      <c r="Q197">
        <v>16598</v>
      </c>
      <c r="S197">
        <v>0</v>
      </c>
      <c r="T197">
        <v>9390</v>
      </c>
      <c r="U197">
        <v>930</v>
      </c>
      <c r="V197">
        <v>2.0566</v>
      </c>
      <c r="W197">
        <v>1.9904999999999999</v>
      </c>
      <c r="X197">
        <v>5.8721666666000001</v>
      </c>
      <c r="Z197">
        <v>10579.74</v>
      </c>
      <c r="AB197">
        <v>10586.56</v>
      </c>
      <c r="AD197">
        <v>10581.01</v>
      </c>
      <c r="AF197" t="s">
        <v>182</v>
      </c>
      <c r="AG197" t="s">
        <v>185</v>
      </c>
      <c r="AI197" t="s">
        <v>186</v>
      </c>
      <c r="AJ197" t="s">
        <v>774</v>
      </c>
      <c r="AK197" t="s">
        <v>188</v>
      </c>
    </row>
    <row r="198" spans="1:37" x14ac:dyDescent="0.3">
      <c r="A198">
        <v>8008</v>
      </c>
      <c r="B198" s="207">
        <v>46121</v>
      </c>
      <c r="C198" t="s">
        <v>438</v>
      </c>
      <c r="D198" t="s">
        <v>775</v>
      </c>
      <c r="E198" t="s">
        <v>776</v>
      </c>
      <c r="F198" s="207">
        <v>46904</v>
      </c>
      <c r="G198">
        <v>2.5</v>
      </c>
      <c r="H198">
        <v>25492</v>
      </c>
      <c r="I198">
        <v>25144850</v>
      </c>
      <c r="J198">
        <v>3.3180000000000001</v>
      </c>
      <c r="K198">
        <v>10550</v>
      </c>
      <c r="L198">
        <v>26894060</v>
      </c>
      <c r="M198">
        <v>-116332</v>
      </c>
      <c r="N198">
        <v>1865542</v>
      </c>
      <c r="O198">
        <v>182614</v>
      </c>
      <c r="P198">
        <v>1490547</v>
      </c>
      <c r="Q198">
        <v>192381</v>
      </c>
      <c r="S198">
        <v>0</v>
      </c>
      <c r="T198">
        <v>234210</v>
      </c>
      <c r="U198">
        <v>23380</v>
      </c>
      <c r="V198">
        <v>2.1415666666000002</v>
      </c>
      <c r="W198">
        <v>2.0731666666000002</v>
      </c>
      <c r="X198">
        <v>6.2661666666000002</v>
      </c>
      <c r="Z198">
        <v>10547.66</v>
      </c>
      <c r="AB198">
        <v>10554.08</v>
      </c>
      <c r="AD198">
        <v>10548.53</v>
      </c>
      <c r="AF198" t="s">
        <v>182</v>
      </c>
      <c r="AG198" t="s">
        <v>185</v>
      </c>
      <c r="AI198" t="s">
        <v>186</v>
      </c>
      <c r="AJ198" t="s">
        <v>777</v>
      </c>
      <c r="AK198" t="s">
        <v>188</v>
      </c>
    </row>
    <row r="199" spans="1:37" x14ac:dyDescent="0.3">
      <c r="A199">
        <v>8008</v>
      </c>
      <c r="B199" s="207">
        <v>46121</v>
      </c>
      <c r="C199" t="s">
        <v>438</v>
      </c>
      <c r="D199" t="s">
        <v>778</v>
      </c>
      <c r="E199" t="s">
        <v>779</v>
      </c>
      <c r="F199" s="207">
        <v>46965</v>
      </c>
      <c r="G199">
        <v>2.5</v>
      </c>
      <c r="H199">
        <v>51820</v>
      </c>
      <c r="I199">
        <v>51015346</v>
      </c>
      <c r="J199">
        <v>3.3410000000000002</v>
      </c>
      <c r="K199">
        <v>10486</v>
      </c>
      <c r="L199">
        <v>54338452</v>
      </c>
      <c r="M199">
        <v>-240137</v>
      </c>
      <c r="N199">
        <v>3563243</v>
      </c>
      <c r="O199">
        <v>369687</v>
      </c>
      <c r="P199">
        <v>3080877</v>
      </c>
      <c r="Q199">
        <v>112679</v>
      </c>
      <c r="S199">
        <v>0</v>
      </c>
      <c r="T199">
        <v>483070</v>
      </c>
      <c r="U199">
        <v>48300</v>
      </c>
      <c r="V199">
        <v>2.3086666666000002</v>
      </c>
      <c r="W199">
        <v>2.2354333333</v>
      </c>
      <c r="X199">
        <v>7.0929333333000004</v>
      </c>
      <c r="Z199">
        <v>10485.34</v>
      </c>
      <c r="AB199">
        <v>10490.35</v>
      </c>
      <c r="AD199">
        <v>10484.4</v>
      </c>
      <c r="AF199" t="s">
        <v>182</v>
      </c>
      <c r="AG199" t="s">
        <v>185</v>
      </c>
      <c r="AI199" t="s">
        <v>186</v>
      </c>
      <c r="AJ199" t="s">
        <v>780</v>
      </c>
      <c r="AK199" t="s">
        <v>188</v>
      </c>
    </row>
    <row r="200" spans="1:37" x14ac:dyDescent="0.3">
      <c r="A200">
        <v>8008</v>
      </c>
      <c r="B200" s="207">
        <v>46121</v>
      </c>
      <c r="C200" t="s">
        <v>438</v>
      </c>
      <c r="D200" t="s">
        <v>781</v>
      </c>
      <c r="E200" t="s">
        <v>782</v>
      </c>
      <c r="F200" s="207">
        <v>46996</v>
      </c>
      <c r="G200">
        <v>2.5</v>
      </c>
      <c r="H200">
        <v>4569</v>
      </c>
      <c r="I200">
        <v>4493595</v>
      </c>
      <c r="J200">
        <v>3.355</v>
      </c>
      <c r="K200">
        <v>10454</v>
      </c>
      <c r="L200">
        <v>4776432</v>
      </c>
      <c r="M200">
        <v>-21106</v>
      </c>
      <c r="N200">
        <v>303943</v>
      </c>
      <c r="O200">
        <v>32528</v>
      </c>
      <c r="P200">
        <v>238933</v>
      </c>
      <c r="Q200">
        <v>32482</v>
      </c>
      <c r="S200">
        <v>0</v>
      </c>
      <c r="T200">
        <v>38000</v>
      </c>
      <c r="U200">
        <v>3800</v>
      </c>
      <c r="V200">
        <v>2.3936000000000002</v>
      </c>
      <c r="W200">
        <v>2.3175666665999999</v>
      </c>
      <c r="X200">
        <v>7.5385333333000002</v>
      </c>
      <c r="Z200">
        <v>10452.52</v>
      </c>
      <c r="AB200">
        <v>10457.700000000001</v>
      </c>
      <c r="AD200">
        <v>10451.799999999999</v>
      </c>
      <c r="AF200" t="s">
        <v>182</v>
      </c>
      <c r="AG200" t="s">
        <v>185</v>
      </c>
      <c r="AI200" t="s">
        <v>186</v>
      </c>
      <c r="AJ200" t="s">
        <v>783</v>
      </c>
      <c r="AK200" t="s">
        <v>188</v>
      </c>
    </row>
    <row r="201" spans="1:37" x14ac:dyDescent="0.3">
      <c r="A201">
        <v>8008</v>
      </c>
      <c r="B201" s="207">
        <v>46121</v>
      </c>
      <c r="C201" t="s">
        <v>438</v>
      </c>
      <c r="D201" t="s">
        <v>784</v>
      </c>
      <c r="E201" t="s">
        <v>785</v>
      </c>
      <c r="F201" s="207">
        <v>47087</v>
      </c>
      <c r="G201">
        <v>2.5</v>
      </c>
      <c r="H201">
        <v>7</v>
      </c>
      <c r="I201">
        <v>6863</v>
      </c>
      <c r="J201">
        <v>3.4239999999999999</v>
      </c>
      <c r="K201">
        <v>10350</v>
      </c>
      <c r="L201">
        <v>7245</v>
      </c>
      <c r="M201">
        <v>-37</v>
      </c>
      <c r="N201">
        <v>419</v>
      </c>
      <c r="O201">
        <v>48</v>
      </c>
      <c r="P201">
        <v>301</v>
      </c>
      <c r="Q201">
        <v>70</v>
      </c>
      <c r="S201">
        <v>0</v>
      </c>
      <c r="T201">
        <v>40</v>
      </c>
      <c r="U201">
        <v>0</v>
      </c>
      <c r="V201">
        <v>2.6429</v>
      </c>
      <c r="W201">
        <v>2.5570333333000002</v>
      </c>
      <c r="X201">
        <v>8.9396666666000009</v>
      </c>
      <c r="Z201">
        <v>10348.48</v>
      </c>
      <c r="AB201">
        <v>10353.59</v>
      </c>
      <c r="AD201">
        <v>10348.209999999999</v>
      </c>
      <c r="AF201" t="s">
        <v>182</v>
      </c>
      <c r="AG201" t="s">
        <v>185</v>
      </c>
      <c r="AI201" t="s">
        <v>186</v>
      </c>
      <c r="AJ201" t="s">
        <v>786</v>
      </c>
      <c r="AK201" t="s">
        <v>188</v>
      </c>
    </row>
    <row r="202" spans="1:37" x14ac:dyDescent="0.3">
      <c r="A202">
        <v>8008</v>
      </c>
      <c r="B202" s="207">
        <v>46121</v>
      </c>
      <c r="C202" t="s">
        <v>438</v>
      </c>
      <c r="D202" t="s">
        <v>787</v>
      </c>
      <c r="E202" t="s">
        <v>788</v>
      </c>
      <c r="F202" s="207">
        <v>47118</v>
      </c>
      <c r="G202">
        <v>2.5</v>
      </c>
      <c r="H202">
        <v>5</v>
      </c>
      <c r="I202">
        <v>4898</v>
      </c>
      <c r="J202">
        <v>3.4550000000000001</v>
      </c>
      <c r="K202">
        <v>10312</v>
      </c>
      <c r="L202">
        <v>5156</v>
      </c>
      <c r="M202">
        <v>-30</v>
      </c>
      <c r="N202">
        <v>288</v>
      </c>
      <c r="O202">
        <v>277</v>
      </c>
      <c r="P202">
        <v>0</v>
      </c>
      <c r="Q202">
        <v>11</v>
      </c>
      <c r="S202">
        <v>0</v>
      </c>
      <c r="T202">
        <v>30</v>
      </c>
      <c r="U202">
        <v>0</v>
      </c>
      <c r="V202">
        <v>2.7278666666000002</v>
      </c>
      <c r="W202">
        <v>2.6379999999999999</v>
      </c>
      <c r="X202">
        <v>9.4481333332999995</v>
      </c>
      <c r="Z202">
        <v>10310.89</v>
      </c>
      <c r="AB202">
        <v>10315.32</v>
      </c>
      <c r="AD202">
        <v>10310.620000000001</v>
      </c>
      <c r="AF202" t="s">
        <v>182</v>
      </c>
      <c r="AG202" t="s">
        <v>185</v>
      </c>
      <c r="AI202" t="s">
        <v>186</v>
      </c>
      <c r="AJ202" t="s">
        <v>789</v>
      </c>
      <c r="AK202" t="s">
        <v>188</v>
      </c>
    </row>
    <row r="203" spans="1:37" x14ac:dyDescent="0.3">
      <c r="A203">
        <v>8008</v>
      </c>
      <c r="B203" s="207">
        <v>46121</v>
      </c>
      <c r="C203" t="s">
        <v>438</v>
      </c>
      <c r="D203" t="s">
        <v>790</v>
      </c>
      <c r="E203" t="s">
        <v>791</v>
      </c>
      <c r="F203" s="207">
        <v>47208</v>
      </c>
      <c r="G203">
        <v>2.5</v>
      </c>
      <c r="H203">
        <v>1</v>
      </c>
      <c r="I203">
        <v>977</v>
      </c>
      <c r="J203">
        <v>3.5419999999999998</v>
      </c>
      <c r="K203">
        <v>10201</v>
      </c>
      <c r="L203">
        <v>1020</v>
      </c>
      <c r="M203">
        <v>-8</v>
      </c>
      <c r="N203">
        <v>51</v>
      </c>
      <c r="O203">
        <v>48</v>
      </c>
      <c r="P203">
        <v>0</v>
      </c>
      <c r="Q203">
        <v>3</v>
      </c>
      <c r="S203">
        <v>0</v>
      </c>
      <c r="T203">
        <v>0</v>
      </c>
      <c r="U203">
        <v>0</v>
      </c>
      <c r="V203">
        <v>2.9744000000000002</v>
      </c>
      <c r="W203">
        <v>2.8720666665999999</v>
      </c>
      <c r="X203">
        <v>11.0145666666</v>
      </c>
      <c r="Z203">
        <v>10202.31</v>
      </c>
      <c r="AB203">
        <v>10202.379999999999</v>
      </c>
      <c r="AD203">
        <v>10199.969999999999</v>
      </c>
      <c r="AF203" t="s">
        <v>182</v>
      </c>
      <c r="AG203" t="s">
        <v>185</v>
      </c>
      <c r="AI203" t="s">
        <v>186</v>
      </c>
      <c r="AJ203" t="s">
        <v>792</v>
      </c>
      <c r="AK203" t="s">
        <v>188</v>
      </c>
    </row>
    <row r="204" spans="1:37" x14ac:dyDescent="0.3">
      <c r="A204">
        <v>8008</v>
      </c>
      <c r="B204" s="207">
        <v>46121</v>
      </c>
      <c r="C204" t="s">
        <v>438</v>
      </c>
      <c r="D204" t="s">
        <v>793</v>
      </c>
      <c r="E204" t="s">
        <v>794</v>
      </c>
      <c r="F204" s="207">
        <v>47299</v>
      </c>
      <c r="G204">
        <v>2.5</v>
      </c>
      <c r="H204">
        <v>10175</v>
      </c>
      <c r="I204">
        <v>9913413</v>
      </c>
      <c r="J204">
        <v>3.5569999999999999</v>
      </c>
      <c r="K204">
        <v>10107</v>
      </c>
      <c r="L204">
        <v>10283871</v>
      </c>
      <c r="M204">
        <v>-86230</v>
      </c>
      <c r="N204">
        <v>456688</v>
      </c>
      <c r="O204">
        <v>70967</v>
      </c>
      <c r="P204">
        <v>337374</v>
      </c>
      <c r="Q204">
        <v>48347</v>
      </c>
      <c r="S204">
        <v>0</v>
      </c>
      <c r="T204">
        <v>57150</v>
      </c>
      <c r="U204">
        <v>5690</v>
      </c>
      <c r="V204">
        <v>3.2237666666</v>
      </c>
      <c r="W204">
        <v>3.1140666665999999</v>
      </c>
      <c r="X204">
        <v>12.649900000000001</v>
      </c>
      <c r="Z204">
        <v>10107.32</v>
      </c>
      <c r="AB204">
        <v>10109.91</v>
      </c>
      <c r="AD204">
        <v>10106.370000000001</v>
      </c>
      <c r="AF204" t="s">
        <v>182</v>
      </c>
      <c r="AG204" t="s">
        <v>185</v>
      </c>
      <c r="AI204" t="s">
        <v>186</v>
      </c>
      <c r="AJ204" t="s">
        <v>795</v>
      </c>
      <c r="AK204" t="s">
        <v>188</v>
      </c>
    </row>
    <row r="205" spans="1:37" x14ac:dyDescent="0.3">
      <c r="A205">
        <v>8008</v>
      </c>
      <c r="B205" s="207">
        <v>46121</v>
      </c>
      <c r="C205" t="s">
        <v>438</v>
      </c>
      <c r="D205" t="s">
        <v>796</v>
      </c>
      <c r="E205" t="s">
        <v>797</v>
      </c>
      <c r="F205" s="207">
        <v>47330</v>
      </c>
      <c r="G205">
        <v>2.5</v>
      </c>
      <c r="H205">
        <v>11629</v>
      </c>
      <c r="I205">
        <v>11320431</v>
      </c>
      <c r="J205">
        <v>3.5590000000000002</v>
      </c>
      <c r="K205">
        <v>10077</v>
      </c>
      <c r="L205">
        <v>11718542</v>
      </c>
      <c r="M205">
        <v>-98383</v>
      </c>
      <c r="N205">
        <v>496494</v>
      </c>
      <c r="O205">
        <v>80939</v>
      </c>
      <c r="P205">
        <v>377669</v>
      </c>
      <c r="Q205">
        <v>37886</v>
      </c>
      <c r="S205">
        <v>0</v>
      </c>
      <c r="T205">
        <v>64190</v>
      </c>
      <c r="U205">
        <v>6400</v>
      </c>
      <c r="V205">
        <v>3.3086666666000002</v>
      </c>
      <c r="W205">
        <v>3.1964999999999999</v>
      </c>
      <c r="X205">
        <v>13.2372</v>
      </c>
      <c r="Z205">
        <v>10076.129999999999</v>
      </c>
      <c r="AB205">
        <v>10079.75</v>
      </c>
      <c r="AD205">
        <v>10075.48</v>
      </c>
      <c r="AF205" t="s">
        <v>182</v>
      </c>
      <c r="AG205" t="s">
        <v>185</v>
      </c>
      <c r="AI205" t="s">
        <v>186</v>
      </c>
      <c r="AJ205" t="s">
        <v>798</v>
      </c>
      <c r="AK205" t="s">
        <v>188</v>
      </c>
    </row>
    <row r="206" spans="1:37" x14ac:dyDescent="0.3">
      <c r="A206">
        <v>8008</v>
      </c>
      <c r="B206" s="207">
        <v>46121</v>
      </c>
      <c r="C206" t="s">
        <v>438</v>
      </c>
      <c r="D206" t="s">
        <v>799</v>
      </c>
      <c r="E206" t="s">
        <v>800</v>
      </c>
      <c r="F206" s="207">
        <v>47361</v>
      </c>
      <c r="G206">
        <v>2.5</v>
      </c>
      <c r="H206">
        <v>58901</v>
      </c>
      <c r="I206">
        <v>57283304</v>
      </c>
      <c r="J206">
        <v>3.5609999999999999</v>
      </c>
      <c r="K206">
        <v>10046</v>
      </c>
      <c r="L206">
        <v>59171944</v>
      </c>
      <c r="M206">
        <v>-497448</v>
      </c>
      <c r="N206">
        <v>2386088</v>
      </c>
      <c r="O206">
        <v>409096</v>
      </c>
      <c r="P206">
        <v>1281501</v>
      </c>
      <c r="Q206">
        <v>695491</v>
      </c>
      <c r="S206">
        <v>0</v>
      </c>
      <c r="T206">
        <v>236680</v>
      </c>
      <c r="U206">
        <v>23660</v>
      </c>
      <c r="V206">
        <v>3.3936000000000002</v>
      </c>
      <c r="W206">
        <v>3.2787333332999999</v>
      </c>
      <c r="X206">
        <v>13.8414</v>
      </c>
      <c r="Z206">
        <v>10045.07</v>
      </c>
      <c r="AB206">
        <v>10049.43</v>
      </c>
      <c r="AD206">
        <v>10044.74</v>
      </c>
      <c r="AF206" t="s">
        <v>182</v>
      </c>
      <c r="AG206" t="s">
        <v>185</v>
      </c>
      <c r="AI206" t="s">
        <v>186</v>
      </c>
      <c r="AJ206" t="s">
        <v>801</v>
      </c>
      <c r="AK206" t="s">
        <v>188</v>
      </c>
    </row>
    <row r="207" spans="1:37" x14ac:dyDescent="0.3">
      <c r="A207">
        <v>8008</v>
      </c>
      <c r="B207" s="207">
        <v>46121</v>
      </c>
      <c r="C207" t="s">
        <v>438</v>
      </c>
      <c r="D207" t="s">
        <v>802</v>
      </c>
      <c r="E207" t="s">
        <v>803</v>
      </c>
      <c r="F207" s="207">
        <v>47391</v>
      </c>
      <c r="G207">
        <v>2.5</v>
      </c>
      <c r="H207">
        <v>12481</v>
      </c>
      <c r="I207">
        <v>12128173</v>
      </c>
      <c r="J207">
        <v>3.5619999999999998</v>
      </c>
      <c r="K207">
        <v>10016</v>
      </c>
      <c r="L207">
        <v>12500969</v>
      </c>
      <c r="M207">
        <v>-106480</v>
      </c>
      <c r="N207">
        <v>479276</v>
      </c>
      <c r="O207">
        <v>86511</v>
      </c>
      <c r="P207">
        <v>361605</v>
      </c>
      <c r="Q207">
        <v>31160</v>
      </c>
      <c r="S207">
        <v>0</v>
      </c>
      <c r="T207">
        <v>62720</v>
      </c>
      <c r="U207">
        <v>6260</v>
      </c>
      <c r="V207">
        <v>3.4758</v>
      </c>
      <c r="W207">
        <v>3.3581333333000001</v>
      </c>
      <c r="X207">
        <v>14.4421666666</v>
      </c>
      <c r="Z207">
        <v>10015.120000000001</v>
      </c>
      <c r="AB207">
        <v>10020.58</v>
      </c>
      <c r="AD207">
        <v>10015.120000000001</v>
      </c>
      <c r="AF207" t="s">
        <v>182</v>
      </c>
      <c r="AG207" t="s">
        <v>185</v>
      </c>
      <c r="AI207" t="s">
        <v>186</v>
      </c>
      <c r="AJ207" t="s">
        <v>804</v>
      </c>
      <c r="AK207" t="s">
        <v>188</v>
      </c>
    </row>
    <row r="208" spans="1:37" x14ac:dyDescent="0.3">
      <c r="A208">
        <v>8008</v>
      </c>
      <c r="B208" s="207">
        <v>46121</v>
      </c>
      <c r="C208" t="s">
        <v>438</v>
      </c>
      <c r="D208" t="s">
        <v>805</v>
      </c>
      <c r="E208" t="s">
        <v>806</v>
      </c>
      <c r="F208" s="207">
        <v>47422</v>
      </c>
      <c r="G208">
        <v>2.5</v>
      </c>
      <c r="H208">
        <v>26295</v>
      </c>
      <c r="I208">
        <v>25529600</v>
      </c>
      <c r="J208">
        <v>3.5649999999999999</v>
      </c>
      <c r="K208">
        <v>9986</v>
      </c>
      <c r="L208">
        <v>26258187</v>
      </c>
      <c r="M208">
        <v>-223952</v>
      </c>
      <c r="N208">
        <v>952539</v>
      </c>
      <c r="O208">
        <v>181880</v>
      </c>
      <c r="P208">
        <v>614464</v>
      </c>
      <c r="Q208">
        <v>156195</v>
      </c>
      <c r="S208">
        <v>0</v>
      </c>
      <c r="T208">
        <v>111480</v>
      </c>
      <c r="U208">
        <v>11140</v>
      </c>
      <c r="V208">
        <v>3.5607000000000002</v>
      </c>
      <c r="W208">
        <v>3.4400333333000002</v>
      </c>
      <c r="X208">
        <v>15.0791333333</v>
      </c>
      <c r="Z208">
        <v>9983.99</v>
      </c>
      <c r="AB208">
        <v>9990.6</v>
      </c>
      <c r="AD208">
        <v>9984.33</v>
      </c>
      <c r="AF208" t="s">
        <v>182</v>
      </c>
      <c r="AG208" t="s">
        <v>185</v>
      </c>
      <c r="AI208" t="s">
        <v>186</v>
      </c>
      <c r="AJ208" t="s">
        <v>807</v>
      </c>
      <c r="AK208" t="s">
        <v>188</v>
      </c>
    </row>
    <row r="209" spans="1:37" x14ac:dyDescent="0.3">
      <c r="A209">
        <v>8008</v>
      </c>
      <c r="B209" s="207">
        <v>46121</v>
      </c>
      <c r="C209" t="s">
        <v>438</v>
      </c>
      <c r="D209" t="s">
        <v>808</v>
      </c>
      <c r="E209" t="s">
        <v>809</v>
      </c>
      <c r="F209" s="207">
        <v>47452</v>
      </c>
      <c r="G209">
        <v>2.5</v>
      </c>
      <c r="H209">
        <v>16224</v>
      </c>
      <c r="I209">
        <v>15736933</v>
      </c>
      <c r="J209">
        <v>3.5670000000000002</v>
      </c>
      <c r="K209">
        <v>9956</v>
      </c>
      <c r="L209">
        <v>16152614</v>
      </c>
      <c r="M209">
        <v>-137950</v>
      </c>
      <c r="N209">
        <v>553631</v>
      </c>
      <c r="O209">
        <v>111992</v>
      </c>
      <c r="P209">
        <v>213958</v>
      </c>
      <c r="Q209">
        <v>227681</v>
      </c>
      <c r="S209">
        <v>0</v>
      </c>
      <c r="T209">
        <v>45630</v>
      </c>
      <c r="U209">
        <v>4560</v>
      </c>
      <c r="V209">
        <v>3.6429</v>
      </c>
      <c r="W209">
        <v>3.5191333333000001</v>
      </c>
      <c r="X209">
        <v>15.711333333300001</v>
      </c>
      <c r="Z209">
        <v>9953.58</v>
      </c>
      <c r="AB209">
        <v>9962.07</v>
      </c>
      <c r="AD209">
        <v>9954.98</v>
      </c>
      <c r="AF209" t="s">
        <v>182</v>
      </c>
      <c r="AG209" t="s">
        <v>185</v>
      </c>
      <c r="AI209" t="s">
        <v>186</v>
      </c>
      <c r="AJ209" t="s">
        <v>810</v>
      </c>
      <c r="AK209" t="s">
        <v>188</v>
      </c>
    </row>
    <row r="210" spans="1:37" x14ac:dyDescent="0.3">
      <c r="A210">
        <v>8008</v>
      </c>
      <c r="B210" s="207">
        <v>46121</v>
      </c>
      <c r="C210" t="s">
        <v>438</v>
      </c>
      <c r="D210" t="s">
        <v>811</v>
      </c>
      <c r="E210" t="s">
        <v>812</v>
      </c>
      <c r="F210" s="207">
        <v>47483</v>
      </c>
      <c r="G210">
        <v>2.5</v>
      </c>
      <c r="H210">
        <v>88123</v>
      </c>
      <c r="I210">
        <v>85402701</v>
      </c>
      <c r="J210">
        <v>3.57</v>
      </c>
      <c r="K210">
        <v>9926</v>
      </c>
      <c r="L210">
        <v>87470889</v>
      </c>
      <c r="M210">
        <v>-748023</v>
      </c>
      <c r="N210">
        <v>2816211</v>
      </c>
      <c r="O210">
        <v>607026</v>
      </c>
      <c r="P210">
        <v>1686599</v>
      </c>
      <c r="Q210">
        <v>522586</v>
      </c>
      <c r="S210">
        <v>0</v>
      </c>
      <c r="T210">
        <v>321100</v>
      </c>
      <c r="U210">
        <v>32100</v>
      </c>
      <c r="V210">
        <v>3.7278666666000002</v>
      </c>
      <c r="W210">
        <v>3.6006666666</v>
      </c>
      <c r="X210">
        <v>16.380533333300001</v>
      </c>
      <c r="Z210">
        <v>9921.9599999999991</v>
      </c>
      <c r="AB210">
        <v>9932.41</v>
      </c>
      <c r="AD210">
        <v>9924.82</v>
      </c>
      <c r="AF210" t="s">
        <v>182</v>
      </c>
      <c r="AG210" t="s">
        <v>185</v>
      </c>
      <c r="AI210" t="s">
        <v>186</v>
      </c>
      <c r="AJ210" t="s">
        <v>813</v>
      </c>
      <c r="AK210" t="s">
        <v>188</v>
      </c>
    </row>
    <row r="211" spans="1:37" x14ac:dyDescent="0.3">
      <c r="A211">
        <v>8008</v>
      </c>
      <c r="B211" s="207">
        <v>46121</v>
      </c>
      <c r="C211" t="s">
        <v>438</v>
      </c>
      <c r="D211" t="s">
        <v>814</v>
      </c>
      <c r="E211" t="s">
        <v>815</v>
      </c>
      <c r="F211" s="207">
        <v>47542</v>
      </c>
      <c r="G211">
        <v>2.5</v>
      </c>
      <c r="H211">
        <v>8614</v>
      </c>
      <c r="I211">
        <v>8328136</v>
      </c>
      <c r="J211">
        <v>3.577</v>
      </c>
      <c r="K211">
        <v>9868</v>
      </c>
      <c r="L211">
        <v>8500295</v>
      </c>
      <c r="M211">
        <v>-67714</v>
      </c>
      <c r="N211">
        <v>239873</v>
      </c>
      <c r="O211">
        <v>59100</v>
      </c>
      <c r="P211">
        <v>148663</v>
      </c>
      <c r="Q211">
        <v>32110</v>
      </c>
      <c r="S211">
        <v>0</v>
      </c>
      <c r="T211">
        <v>29080</v>
      </c>
      <c r="U211">
        <v>2900</v>
      </c>
      <c r="V211">
        <v>3.8895</v>
      </c>
      <c r="W211">
        <v>3.7553666666000001</v>
      </c>
      <c r="X211">
        <v>17.698599999999999</v>
      </c>
      <c r="Z211">
        <v>9861.08</v>
      </c>
      <c r="AB211">
        <v>9876.7199999999993</v>
      </c>
      <c r="AD211">
        <v>9867.75</v>
      </c>
      <c r="AF211" t="s">
        <v>182</v>
      </c>
      <c r="AG211" t="s">
        <v>185</v>
      </c>
      <c r="AI211" t="s">
        <v>186</v>
      </c>
      <c r="AJ211" t="s">
        <v>816</v>
      </c>
      <c r="AK211" t="s">
        <v>188</v>
      </c>
    </row>
    <row r="212" spans="1:37" x14ac:dyDescent="0.3">
      <c r="A212">
        <v>8008</v>
      </c>
      <c r="B212" s="207">
        <v>46121</v>
      </c>
      <c r="C212" t="s">
        <v>438</v>
      </c>
      <c r="D212" t="s">
        <v>817</v>
      </c>
      <c r="E212" t="s">
        <v>818</v>
      </c>
      <c r="F212" s="207">
        <v>47573</v>
      </c>
      <c r="G212">
        <v>2.5</v>
      </c>
      <c r="H212">
        <v>23041</v>
      </c>
      <c r="I212">
        <v>22247305</v>
      </c>
      <c r="J212">
        <v>3.5790000000000002</v>
      </c>
      <c r="K212">
        <v>9838</v>
      </c>
      <c r="L212">
        <v>22667735</v>
      </c>
      <c r="M212">
        <v>-171577</v>
      </c>
      <c r="N212">
        <v>592007</v>
      </c>
      <c r="O212">
        <v>157753</v>
      </c>
      <c r="P212">
        <v>381736</v>
      </c>
      <c r="Q212">
        <v>52518</v>
      </c>
      <c r="S212">
        <v>0</v>
      </c>
      <c r="T212">
        <v>75520</v>
      </c>
      <c r="U212">
        <v>7550</v>
      </c>
      <c r="V212">
        <v>3.9744000000000002</v>
      </c>
      <c r="W212">
        <v>3.8365</v>
      </c>
      <c r="X212">
        <v>18.414633333299999</v>
      </c>
      <c r="Z212">
        <v>9830.84</v>
      </c>
      <c r="AB212">
        <v>9847.52</v>
      </c>
      <c r="AD212">
        <v>9837.6299999999992</v>
      </c>
      <c r="AF212" t="s">
        <v>182</v>
      </c>
      <c r="AG212" t="s">
        <v>185</v>
      </c>
      <c r="AI212" t="s">
        <v>186</v>
      </c>
      <c r="AJ212" t="s">
        <v>819</v>
      </c>
      <c r="AK212" t="s">
        <v>188</v>
      </c>
    </row>
    <row r="213" spans="1:37" x14ac:dyDescent="0.3">
      <c r="A213">
        <v>8008</v>
      </c>
      <c r="B213" s="207">
        <v>46121</v>
      </c>
      <c r="C213" t="s">
        <v>438</v>
      </c>
      <c r="D213" t="s">
        <v>820</v>
      </c>
      <c r="E213" t="s">
        <v>821</v>
      </c>
      <c r="F213" s="207">
        <v>47603</v>
      </c>
      <c r="G213">
        <v>2.5</v>
      </c>
      <c r="H213">
        <v>20173</v>
      </c>
      <c r="I213">
        <v>19455217</v>
      </c>
      <c r="J213">
        <v>3.5870000000000002</v>
      </c>
      <c r="K213">
        <v>9807</v>
      </c>
      <c r="L213">
        <v>19783660</v>
      </c>
      <c r="M213">
        <v>-147922</v>
      </c>
      <c r="N213">
        <v>476365</v>
      </c>
      <c r="O213">
        <v>137835</v>
      </c>
      <c r="P213">
        <v>298298</v>
      </c>
      <c r="Q213">
        <v>40232</v>
      </c>
      <c r="S213">
        <v>0</v>
      </c>
      <c r="T213">
        <v>61040</v>
      </c>
      <c r="U213">
        <v>6080</v>
      </c>
      <c r="V213">
        <v>4.0566000000000004</v>
      </c>
      <c r="W213">
        <v>3.9158333333000002</v>
      </c>
      <c r="X213">
        <v>19.0975</v>
      </c>
      <c r="Z213">
        <v>9798.31</v>
      </c>
      <c r="AB213">
        <v>9816.0499999999993</v>
      </c>
      <c r="AD213">
        <v>9806.75</v>
      </c>
      <c r="AF213" t="s">
        <v>182</v>
      </c>
      <c r="AG213" t="s">
        <v>185</v>
      </c>
      <c r="AI213" t="s">
        <v>186</v>
      </c>
      <c r="AJ213" t="s">
        <v>822</v>
      </c>
      <c r="AK213" t="s">
        <v>188</v>
      </c>
    </row>
    <row r="214" spans="1:37" x14ac:dyDescent="0.3">
      <c r="A214">
        <v>8008</v>
      </c>
      <c r="B214" s="207">
        <v>46121</v>
      </c>
      <c r="C214" t="s">
        <v>438</v>
      </c>
      <c r="D214" t="s">
        <v>823</v>
      </c>
      <c r="E214" t="s">
        <v>824</v>
      </c>
      <c r="F214" s="207">
        <v>47634</v>
      </c>
      <c r="G214">
        <v>2.5</v>
      </c>
      <c r="H214">
        <v>14970</v>
      </c>
      <c r="I214">
        <v>14418337</v>
      </c>
      <c r="J214">
        <v>3.597</v>
      </c>
      <c r="K214">
        <v>9773</v>
      </c>
      <c r="L214">
        <v>14630181</v>
      </c>
      <c r="M214">
        <v>-109556</v>
      </c>
      <c r="N214">
        <v>321400</v>
      </c>
      <c r="O214">
        <v>102071</v>
      </c>
      <c r="P214">
        <v>9246</v>
      </c>
      <c r="Q214">
        <v>210083</v>
      </c>
      <c r="S214">
        <v>0</v>
      </c>
      <c r="T214">
        <v>15580</v>
      </c>
      <c r="U214">
        <v>1550</v>
      </c>
      <c r="V214">
        <v>4.1415666666000002</v>
      </c>
      <c r="W214">
        <v>3.9982333333</v>
      </c>
      <c r="X214">
        <v>19.807133333300001</v>
      </c>
      <c r="Z214">
        <v>9764.9</v>
      </c>
      <c r="AB214">
        <v>9781.7800000000007</v>
      </c>
      <c r="AD214">
        <v>9773.89</v>
      </c>
      <c r="AF214" t="s">
        <v>182</v>
      </c>
      <c r="AG214" t="s">
        <v>185</v>
      </c>
      <c r="AI214" t="s">
        <v>186</v>
      </c>
      <c r="AJ214" t="s">
        <v>825</v>
      </c>
      <c r="AK214" t="s">
        <v>188</v>
      </c>
    </row>
    <row r="215" spans="1:37" x14ac:dyDescent="0.3">
      <c r="A215">
        <v>8008</v>
      </c>
      <c r="B215" s="207">
        <v>46121</v>
      </c>
      <c r="C215" t="s">
        <v>438</v>
      </c>
      <c r="D215" t="s">
        <v>826</v>
      </c>
      <c r="E215" t="s">
        <v>827</v>
      </c>
      <c r="F215" s="207">
        <v>47664</v>
      </c>
      <c r="G215">
        <v>2.5</v>
      </c>
      <c r="H215">
        <v>1004</v>
      </c>
      <c r="I215">
        <v>965854</v>
      </c>
      <c r="J215">
        <v>3.6059999999999999</v>
      </c>
      <c r="K215">
        <v>9741</v>
      </c>
      <c r="L215">
        <v>977995</v>
      </c>
      <c r="M215">
        <v>-7334</v>
      </c>
      <c r="N215">
        <v>19475</v>
      </c>
      <c r="O215">
        <v>6832</v>
      </c>
      <c r="P215">
        <v>9558</v>
      </c>
      <c r="Q215">
        <v>3085</v>
      </c>
      <c r="S215">
        <v>0</v>
      </c>
      <c r="T215">
        <v>2290</v>
      </c>
      <c r="U215">
        <v>220</v>
      </c>
      <c r="V215">
        <v>4.2237666666000004</v>
      </c>
      <c r="W215">
        <v>4.0778666666000003</v>
      </c>
      <c r="X215">
        <v>20.509933333300001</v>
      </c>
      <c r="Z215">
        <v>9732.91</v>
      </c>
      <c r="AB215">
        <v>9748.8799999999992</v>
      </c>
      <c r="AD215">
        <v>9742.0499999999993</v>
      </c>
      <c r="AF215" t="s">
        <v>182</v>
      </c>
      <c r="AG215" t="s">
        <v>185</v>
      </c>
      <c r="AI215" t="s">
        <v>186</v>
      </c>
      <c r="AJ215" t="s">
        <v>828</v>
      </c>
      <c r="AK215" t="s">
        <v>188</v>
      </c>
    </row>
    <row r="216" spans="1:37" x14ac:dyDescent="0.3">
      <c r="A216">
        <v>8008</v>
      </c>
      <c r="B216" s="207">
        <v>46121</v>
      </c>
      <c r="C216" t="s">
        <v>438</v>
      </c>
      <c r="D216" t="s">
        <v>829</v>
      </c>
      <c r="E216" t="s">
        <v>830</v>
      </c>
      <c r="F216" s="207">
        <v>47695</v>
      </c>
      <c r="G216">
        <v>2.5</v>
      </c>
      <c r="H216">
        <v>112605</v>
      </c>
      <c r="I216">
        <v>108193959</v>
      </c>
      <c r="J216">
        <v>3.6160000000000001</v>
      </c>
      <c r="K216">
        <v>9707</v>
      </c>
      <c r="L216">
        <v>109305673</v>
      </c>
      <c r="M216">
        <v>-832186</v>
      </c>
      <c r="N216">
        <v>1943900</v>
      </c>
      <c r="O216">
        <v>764621</v>
      </c>
      <c r="P216">
        <v>948224</v>
      </c>
      <c r="Q216">
        <v>231055</v>
      </c>
      <c r="S216">
        <v>0</v>
      </c>
      <c r="T216">
        <v>239780</v>
      </c>
      <c r="U216">
        <v>23960</v>
      </c>
      <c r="V216">
        <v>4.3086666665999998</v>
      </c>
      <c r="W216">
        <v>4.1598666666000002</v>
      </c>
      <c r="X216">
        <v>21.252233333300001</v>
      </c>
      <c r="Z216">
        <v>9699.2199999999993</v>
      </c>
      <c r="AB216">
        <v>9715.0499999999993</v>
      </c>
      <c r="AD216">
        <v>9708.91</v>
      </c>
      <c r="AF216" t="s">
        <v>182</v>
      </c>
      <c r="AG216" t="s">
        <v>185</v>
      </c>
      <c r="AI216" t="s">
        <v>186</v>
      </c>
      <c r="AJ216" t="s">
        <v>831</v>
      </c>
      <c r="AK216" t="s">
        <v>188</v>
      </c>
    </row>
    <row r="217" spans="1:37" x14ac:dyDescent="0.3">
      <c r="A217">
        <v>8008</v>
      </c>
      <c r="B217" s="207">
        <v>46121</v>
      </c>
      <c r="C217" t="s">
        <v>438</v>
      </c>
      <c r="D217" t="s">
        <v>832</v>
      </c>
      <c r="E217" t="s">
        <v>833</v>
      </c>
      <c r="F217" s="207">
        <v>47726</v>
      </c>
      <c r="G217">
        <v>2</v>
      </c>
      <c r="H217">
        <v>18364</v>
      </c>
      <c r="I217">
        <v>17221842</v>
      </c>
      <c r="J217">
        <v>3.6240000000000001</v>
      </c>
      <c r="K217">
        <v>9440</v>
      </c>
      <c r="L217">
        <v>17335616</v>
      </c>
      <c r="M217">
        <v>-108744</v>
      </c>
      <c r="N217">
        <v>222518</v>
      </c>
      <c r="O217">
        <v>99563</v>
      </c>
      <c r="P217">
        <v>85836</v>
      </c>
      <c r="Q217">
        <v>37119</v>
      </c>
      <c r="S217">
        <v>0</v>
      </c>
      <c r="T217">
        <v>25940</v>
      </c>
      <c r="U217">
        <v>2580</v>
      </c>
      <c r="V217">
        <v>4.3936000000000002</v>
      </c>
      <c r="W217">
        <v>4.2417666666000002</v>
      </c>
      <c r="X217">
        <v>22.011633333300001</v>
      </c>
      <c r="Z217">
        <v>9433.5</v>
      </c>
      <c r="AB217">
        <v>9447.02</v>
      </c>
      <c r="AD217">
        <v>9441.91</v>
      </c>
      <c r="AF217" t="s">
        <v>182</v>
      </c>
      <c r="AG217" t="s">
        <v>185</v>
      </c>
      <c r="AI217" t="s">
        <v>186</v>
      </c>
      <c r="AJ217" t="s">
        <v>834</v>
      </c>
      <c r="AK217" t="s">
        <v>188</v>
      </c>
    </row>
    <row r="218" spans="1:37" x14ac:dyDescent="0.3">
      <c r="A218">
        <v>8008</v>
      </c>
      <c r="B218" s="207">
        <v>46121</v>
      </c>
      <c r="C218" t="s">
        <v>438</v>
      </c>
      <c r="D218" t="s">
        <v>835</v>
      </c>
      <c r="E218" t="s">
        <v>836</v>
      </c>
      <c r="F218" s="207">
        <v>47756</v>
      </c>
      <c r="G218">
        <v>2</v>
      </c>
      <c r="H218">
        <v>10650</v>
      </c>
      <c r="I218">
        <v>9972039</v>
      </c>
      <c r="J218">
        <v>3.633</v>
      </c>
      <c r="K218">
        <v>9409</v>
      </c>
      <c r="L218">
        <v>10020585</v>
      </c>
      <c r="M218">
        <v>-62971</v>
      </c>
      <c r="N218">
        <v>111517</v>
      </c>
      <c r="O218">
        <v>57646</v>
      </c>
      <c r="P218">
        <v>35979</v>
      </c>
      <c r="Q218">
        <v>17892</v>
      </c>
      <c r="S218">
        <v>0</v>
      </c>
      <c r="T218">
        <v>13100</v>
      </c>
      <c r="U218">
        <v>1310</v>
      </c>
      <c r="V218">
        <v>4.4757999999999996</v>
      </c>
      <c r="W218">
        <v>4.3208666665999997</v>
      </c>
      <c r="X218">
        <v>22.7617666666</v>
      </c>
      <c r="Z218">
        <v>9402.89</v>
      </c>
      <c r="AB218">
        <v>9414.9699999999993</v>
      </c>
      <c r="AD218">
        <v>9411.0300000000007</v>
      </c>
      <c r="AF218" t="s">
        <v>182</v>
      </c>
      <c r="AG218" t="s">
        <v>185</v>
      </c>
      <c r="AI218" t="s">
        <v>186</v>
      </c>
      <c r="AJ218" t="s">
        <v>837</v>
      </c>
      <c r="AK218" t="s">
        <v>188</v>
      </c>
    </row>
    <row r="219" spans="1:37" x14ac:dyDescent="0.3">
      <c r="A219">
        <v>8008</v>
      </c>
      <c r="B219" s="207">
        <v>46121</v>
      </c>
      <c r="C219" t="s">
        <v>438</v>
      </c>
      <c r="D219" t="s">
        <v>838</v>
      </c>
      <c r="E219" t="s">
        <v>839</v>
      </c>
      <c r="F219" s="207">
        <v>47787</v>
      </c>
      <c r="G219">
        <v>2</v>
      </c>
      <c r="H219">
        <v>1715</v>
      </c>
      <c r="I219">
        <v>1603235</v>
      </c>
      <c r="J219">
        <v>3.6419999999999999</v>
      </c>
      <c r="K219">
        <v>9377</v>
      </c>
      <c r="L219">
        <v>1608155</v>
      </c>
      <c r="M219">
        <v>-10125</v>
      </c>
      <c r="N219">
        <v>15045</v>
      </c>
      <c r="O219">
        <v>9267</v>
      </c>
      <c r="P219">
        <v>3172</v>
      </c>
      <c r="Q219">
        <v>2606</v>
      </c>
      <c r="S219">
        <v>0</v>
      </c>
      <c r="T219">
        <v>1740</v>
      </c>
      <c r="U219">
        <v>170</v>
      </c>
      <c r="V219">
        <v>4.5606999999999998</v>
      </c>
      <c r="W219">
        <v>4.4024333333000003</v>
      </c>
      <c r="X219">
        <v>23.5527666666</v>
      </c>
      <c r="Z219">
        <v>9371.44</v>
      </c>
      <c r="AB219">
        <v>9381.6299999999992</v>
      </c>
      <c r="AD219">
        <v>9379.2900000000009</v>
      </c>
      <c r="AF219" t="s">
        <v>182</v>
      </c>
      <c r="AG219" t="s">
        <v>185</v>
      </c>
      <c r="AI219" t="s">
        <v>186</v>
      </c>
      <c r="AJ219" t="s">
        <v>840</v>
      </c>
      <c r="AK219" t="s">
        <v>188</v>
      </c>
    </row>
    <row r="220" spans="1:37" x14ac:dyDescent="0.3">
      <c r="A220">
        <v>8008</v>
      </c>
      <c r="B220" s="207">
        <v>46121</v>
      </c>
      <c r="C220" t="s">
        <v>438</v>
      </c>
      <c r="D220" t="s">
        <v>841</v>
      </c>
      <c r="E220" t="s">
        <v>842</v>
      </c>
      <c r="F220" s="207">
        <v>47817</v>
      </c>
      <c r="G220">
        <v>2</v>
      </c>
      <c r="H220">
        <v>4820</v>
      </c>
      <c r="I220">
        <v>4498325</v>
      </c>
      <c r="J220">
        <v>3.6509999999999998</v>
      </c>
      <c r="K220">
        <v>9345</v>
      </c>
      <c r="L220">
        <v>4504290</v>
      </c>
      <c r="M220">
        <v>-28413</v>
      </c>
      <c r="N220">
        <v>34378</v>
      </c>
      <c r="O220">
        <v>26003</v>
      </c>
      <c r="P220">
        <v>560</v>
      </c>
      <c r="Q220">
        <v>7815</v>
      </c>
      <c r="S220">
        <v>0</v>
      </c>
      <c r="T220">
        <v>3710</v>
      </c>
      <c r="U220">
        <v>370</v>
      </c>
      <c r="V220">
        <v>4.6429</v>
      </c>
      <c r="W220">
        <v>4.4810999999999996</v>
      </c>
      <c r="X220">
        <v>24.332899999999999</v>
      </c>
      <c r="Z220">
        <v>9339.73</v>
      </c>
      <c r="AB220">
        <v>9349.64</v>
      </c>
      <c r="AD220">
        <v>9348.5400000000009</v>
      </c>
      <c r="AF220" t="s">
        <v>182</v>
      </c>
      <c r="AG220" t="s">
        <v>185</v>
      </c>
      <c r="AI220" t="s">
        <v>186</v>
      </c>
      <c r="AJ220" t="s">
        <v>843</v>
      </c>
      <c r="AK220" t="s">
        <v>188</v>
      </c>
    </row>
    <row r="221" spans="1:37" x14ac:dyDescent="0.3">
      <c r="A221">
        <v>8008</v>
      </c>
      <c r="B221" s="207">
        <v>46121</v>
      </c>
      <c r="C221" t="s">
        <v>438</v>
      </c>
      <c r="D221" t="s">
        <v>844</v>
      </c>
      <c r="E221" t="s">
        <v>845</v>
      </c>
      <c r="F221" s="207">
        <v>47848</v>
      </c>
      <c r="G221">
        <v>2</v>
      </c>
      <c r="H221">
        <v>800</v>
      </c>
      <c r="I221">
        <v>732404</v>
      </c>
      <c r="J221">
        <v>3.661</v>
      </c>
      <c r="K221">
        <v>9313</v>
      </c>
      <c r="L221">
        <v>745040</v>
      </c>
      <c r="M221">
        <v>8285</v>
      </c>
      <c r="N221">
        <v>4351</v>
      </c>
      <c r="O221">
        <v>2079</v>
      </c>
      <c r="P221">
        <v>0</v>
      </c>
      <c r="Q221">
        <v>2272</v>
      </c>
      <c r="S221">
        <v>0</v>
      </c>
      <c r="T221">
        <v>280</v>
      </c>
      <c r="U221">
        <v>20</v>
      </c>
      <c r="V221">
        <v>4.7278666665999998</v>
      </c>
      <c r="W221">
        <v>4.5622333333</v>
      </c>
      <c r="X221">
        <v>25.154666666600001</v>
      </c>
      <c r="Z221">
        <v>9307.58</v>
      </c>
      <c r="AB221">
        <v>9316.77</v>
      </c>
      <c r="AD221">
        <v>9316.51</v>
      </c>
      <c r="AF221" t="s">
        <v>182</v>
      </c>
      <c r="AG221" t="s">
        <v>185</v>
      </c>
      <c r="AI221" t="s">
        <v>186</v>
      </c>
      <c r="AJ221" t="s">
        <v>846</v>
      </c>
      <c r="AK221" t="s">
        <v>188</v>
      </c>
    </row>
    <row r="222" spans="1:37" x14ac:dyDescent="0.3">
      <c r="A222">
        <v>8008</v>
      </c>
      <c r="B222" s="207">
        <v>46121</v>
      </c>
      <c r="C222" t="s">
        <v>438</v>
      </c>
      <c r="D222" t="s">
        <v>847</v>
      </c>
      <c r="E222" t="s">
        <v>848</v>
      </c>
      <c r="F222" s="207">
        <v>47879</v>
      </c>
      <c r="G222">
        <v>2</v>
      </c>
      <c r="H222">
        <v>740</v>
      </c>
      <c r="I222">
        <v>685203</v>
      </c>
      <c r="J222">
        <v>3.6709999999999998</v>
      </c>
      <c r="K222">
        <v>9281</v>
      </c>
      <c r="L222">
        <v>686794</v>
      </c>
      <c r="M222">
        <v>-1184</v>
      </c>
      <c r="N222">
        <v>2775</v>
      </c>
      <c r="O222">
        <v>1702</v>
      </c>
      <c r="P222">
        <v>0</v>
      </c>
      <c r="Q222">
        <v>1073</v>
      </c>
      <c r="S222">
        <v>0</v>
      </c>
      <c r="T222">
        <v>230</v>
      </c>
      <c r="U222">
        <v>20</v>
      </c>
      <c r="V222">
        <v>4.8128000000000002</v>
      </c>
      <c r="W222">
        <v>4.6432000000000002</v>
      </c>
      <c r="X222">
        <v>25.9916666666</v>
      </c>
      <c r="Z222">
        <v>9274.6299999999992</v>
      </c>
      <c r="AB222">
        <v>9283.5</v>
      </c>
      <c r="AD222">
        <v>9284.98</v>
      </c>
      <c r="AF222" t="s">
        <v>182</v>
      </c>
      <c r="AG222" t="s">
        <v>185</v>
      </c>
      <c r="AI222" t="s">
        <v>186</v>
      </c>
      <c r="AJ222" t="s">
        <v>849</v>
      </c>
      <c r="AK222" t="s">
        <v>188</v>
      </c>
    </row>
    <row r="223" spans="1:37" x14ac:dyDescent="0.3">
      <c r="A223">
        <v>8008</v>
      </c>
      <c r="B223" s="207">
        <v>46121</v>
      </c>
      <c r="C223" t="s">
        <v>438</v>
      </c>
      <c r="D223" t="s">
        <v>850</v>
      </c>
      <c r="E223" t="s">
        <v>851</v>
      </c>
      <c r="F223" s="207">
        <v>47907</v>
      </c>
      <c r="G223">
        <v>2</v>
      </c>
      <c r="H223">
        <v>7141</v>
      </c>
      <c r="I223">
        <v>6470581</v>
      </c>
      <c r="J223">
        <v>3.681</v>
      </c>
      <c r="K223">
        <v>9251</v>
      </c>
      <c r="L223">
        <v>6606139</v>
      </c>
      <c r="M223">
        <v>119656</v>
      </c>
      <c r="N223">
        <v>15902</v>
      </c>
      <c r="O223">
        <v>3942</v>
      </c>
      <c r="P223">
        <v>0</v>
      </c>
      <c r="Q223">
        <v>11960</v>
      </c>
      <c r="S223">
        <v>0</v>
      </c>
      <c r="T223">
        <v>550</v>
      </c>
      <c r="U223">
        <v>50</v>
      </c>
      <c r="V223">
        <v>4.8895</v>
      </c>
      <c r="W223">
        <v>4.7161333333000002</v>
      </c>
      <c r="X223">
        <v>26.7605333333</v>
      </c>
      <c r="Z223">
        <v>9244</v>
      </c>
      <c r="AB223">
        <v>9253.84</v>
      </c>
      <c r="AD223">
        <v>9256.2199999999993</v>
      </c>
      <c r="AF223" t="s">
        <v>182</v>
      </c>
      <c r="AG223" t="s">
        <v>185</v>
      </c>
      <c r="AI223" t="s">
        <v>186</v>
      </c>
      <c r="AJ223" t="s">
        <v>852</v>
      </c>
      <c r="AK223" t="s">
        <v>188</v>
      </c>
    </row>
    <row r="224" spans="1:37" x14ac:dyDescent="0.3">
      <c r="A224">
        <v>8008</v>
      </c>
      <c r="B224" s="207">
        <v>46121</v>
      </c>
      <c r="C224" t="s">
        <v>438</v>
      </c>
      <c r="D224" t="s">
        <v>853</v>
      </c>
      <c r="E224" t="s">
        <v>854</v>
      </c>
      <c r="F224" s="207">
        <v>47968</v>
      </c>
      <c r="G224">
        <v>2</v>
      </c>
      <c r="H224">
        <v>131880</v>
      </c>
      <c r="I224">
        <v>119689963</v>
      </c>
      <c r="J224">
        <v>3.7010000000000001</v>
      </c>
      <c r="K224">
        <v>9187</v>
      </c>
      <c r="L224">
        <v>121158154</v>
      </c>
      <c r="M224">
        <v>1468191</v>
      </c>
      <c r="N224">
        <v>0</v>
      </c>
      <c r="O224">
        <v>0</v>
      </c>
      <c r="P224">
        <v>0</v>
      </c>
      <c r="Q224">
        <v>0</v>
      </c>
      <c r="S224">
        <v>0</v>
      </c>
      <c r="T224">
        <v>0</v>
      </c>
      <c r="U224">
        <v>0</v>
      </c>
      <c r="V224">
        <v>5.0566000000000004</v>
      </c>
      <c r="W224">
        <v>4.8758666666000003</v>
      </c>
      <c r="X224">
        <v>28.459566666600001</v>
      </c>
      <c r="Z224">
        <v>9177.61</v>
      </c>
      <c r="AB224">
        <v>9189.0300000000007</v>
      </c>
      <c r="AD224">
        <v>9195.08</v>
      </c>
      <c r="AF224" t="s">
        <v>182</v>
      </c>
      <c r="AG224" t="s">
        <v>185</v>
      </c>
      <c r="AI224" t="s">
        <v>186</v>
      </c>
      <c r="AJ224" t="s">
        <v>855</v>
      </c>
      <c r="AK224" t="s">
        <v>188</v>
      </c>
    </row>
    <row r="225" spans="1:37" x14ac:dyDescent="0.3">
      <c r="A225">
        <v>8008</v>
      </c>
      <c r="B225" s="207">
        <v>46121</v>
      </c>
      <c r="C225" t="s">
        <v>438</v>
      </c>
      <c r="D225" t="s">
        <v>856</v>
      </c>
      <c r="E225" t="s">
        <v>857</v>
      </c>
      <c r="F225" s="207">
        <v>46203</v>
      </c>
      <c r="G225">
        <v>1.05</v>
      </c>
      <c r="H225">
        <v>12667</v>
      </c>
      <c r="I225">
        <v>12568187</v>
      </c>
      <c r="J225">
        <v>2.69</v>
      </c>
      <c r="K225">
        <v>10473</v>
      </c>
      <c r="L225">
        <v>13266148</v>
      </c>
      <c r="M225">
        <v>49732</v>
      </c>
      <c r="N225">
        <v>648229</v>
      </c>
      <c r="O225">
        <v>37670</v>
      </c>
      <c r="P225">
        <v>279097</v>
      </c>
      <c r="Q225">
        <v>331462</v>
      </c>
      <c r="S225">
        <v>0</v>
      </c>
      <c r="T225">
        <v>44340</v>
      </c>
      <c r="U225">
        <v>4430</v>
      </c>
      <c r="V225">
        <v>0.22283333329999999</v>
      </c>
      <c r="W225">
        <v>0.2185</v>
      </c>
      <c r="X225">
        <v>0.2051</v>
      </c>
      <c r="Z225">
        <v>10473.31</v>
      </c>
      <c r="AB225">
        <v>10474.17</v>
      </c>
      <c r="AD225">
        <v>10473.06</v>
      </c>
      <c r="AF225" t="s">
        <v>182</v>
      </c>
      <c r="AG225" t="s">
        <v>185</v>
      </c>
      <c r="AI225" t="s">
        <v>186</v>
      </c>
      <c r="AJ225" t="s">
        <v>858</v>
      </c>
      <c r="AK225" t="s">
        <v>188</v>
      </c>
    </row>
    <row r="226" spans="1:37" x14ac:dyDescent="0.3">
      <c r="A226">
        <v>8008</v>
      </c>
      <c r="B226" s="207">
        <v>46121</v>
      </c>
      <c r="C226" t="s">
        <v>438</v>
      </c>
      <c r="D226" t="s">
        <v>859</v>
      </c>
      <c r="E226" t="s">
        <v>860</v>
      </c>
      <c r="F226" s="207">
        <v>46234</v>
      </c>
      <c r="G226">
        <v>1.05</v>
      </c>
      <c r="H226">
        <v>15330</v>
      </c>
      <c r="I226">
        <v>15119474</v>
      </c>
      <c r="J226">
        <v>2.7320000000000002</v>
      </c>
      <c r="K226">
        <v>10448</v>
      </c>
      <c r="L226">
        <v>16016784</v>
      </c>
      <c r="M226">
        <v>127092</v>
      </c>
      <c r="N226">
        <v>770218</v>
      </c>
      <c r="O226">
        <v>19163</v>
      </c>
      <c r="P226">
        <v>107251</v>
      </c>
      <c r="Q226">
        <v>643804</v>
      </c>
      <c r="S226">
        <v>0</v>
      </c>
      <c r="T226">
        <v>17690</v>
      </c>
      <c r="U226">
        <v>1760</v>
      </c>
      <c r="V226">
        <v>0.30773333330000002</v>
      </c>
      <c r="W226">
        <v>0.30143333329999999</v>
      </c>
      <c r="X226">
        <v>0.31636666660000001</v>
      </c>
      <c r="Z226">
        <v>10447.86</v>
      </c>
      <c r="AB226">
        <v>10449.280000000001</v>
      </c>
      <c r="AD226">
        <v>10448.15</v>
      </c>
      <c r="AF226" t="s">
        <v>182</v>
      </c>
      <c r="AG226" t="s">
        <v>185</v>
      </c>
      <c r="AI226" t="s">
        <v>186</v>
      </c>
      <c r="AJ226" t="s">
        <v>861</v>
      </c>
      <c r="AK226" t="s">
        <v>188</v>
      </c>
    </row>
    <row r="227" spans="1:37" x14ac:dyDescent="0.3">
      <c r="A227">
        <v>8008</v>
      </c>
      <c r="B227" s="207">
        <v>46121</v>
      </c>
      <c r="C227" t="s">
        <v>438</v>
      </c>
      <c r="D227" t="s">
        <v>862</v>
      </c>
      <c r="E227" t="s">
        <v>863</v>
      </c>
      <c r="F227" s="207">
        <v>46356</v>
      </c>
      <c r="G227">
        <v>1.05</v>
      </c>
      <c r="H227">
        <v>13180</v>
      </c>
      <c r="I227">
        <v>12982018</v>
      </c>
      <c r="J227">
        <v>2.8540000000000001</v>
      </c>
      <c r="K227">
        <v>10346</v>
      </c>
      <c r="L227">
        <v>13636028</v>
      </c>
      <c r="M227">
        <v>40057</v>
      </c>
      <c r="N227">
        <v>613953</v>
      </c>
      <c r="O227">
        <v>39023</v>
      </c>
      <c r="P227">
        <v>458632</v>
      </c>
      <c r="Q227">
        <v>116298</v>
      </c>
      <c r="S227">
        <v>0</v>
      </c>
      <c r="T227">
        <v>69660</v>
      </c>
      <c r="U227">
        <v>6960</v>
      </c>
      <c r="V227">
        <v>0.64200000000000002</v>
      </c>
      <c r="W227">
        <v>0.62626666659999997</v>
      </c>
      <c r="X227">
        <v>0.92920000000000003</v>
      </c>
      <c r="Z227">
        <v>10346.290000000001</v>
      </c>
      <c r="AB227">
        <v>10347.15</v>
      </c>
      <c r="AD227">
        <v>10346.75</v>
      </c>
      <c r="AF227" t="s">
        <v>182</v>
      </c>
      <c r="AG227" t="s">
        <v>185</v>
      </c>
      <c r="AI227" t="s">
        <v>186</v>
      </c>
      <c r="AJ227" t="s">
        <v>864</v>
      </c>
      <c r="AK227" t="s">
        <v>188</v>
      </c>
    </row>
    <row r="228" spans="1:37" x14ac:dyDescent="0.3">
      <c r="A228">
        <v>8008</v>
      </c>
      <c r="B228" s="207">
        <v>46121</v>
      </c>
      <c r="C228" t="s">
        <v>438</v>
      </c>
      <c r="D228" t="s">
        <v>865</v>
      </c>
      <c r="E228" t="s">
        <v>866</v>
      </c>
      <c r="F228" s="207">
        <v>46446</v>
      </c>
      <c r="G228">
        <v>1.05</v>
      </c>
      <c r="H228">
        <v>76041</v>
      </c>
      <c r="I228">
        <v>74540182</v>
      </c>
      <c r="J228">
        <v>2.9510000000000001</v>
      </c>
      <c r="K228">
        <v>10267</v>
      </c>
      <c r="L228">
        <v>78071294</v>
      </c>
      <c r="M228">
        <v>193656</v>
      </c>
      <c r="N228">
        <v>3337456</v>
      </c>
      <c r="O228">
        <v>224569</v>
      </c>
      <c r="P228">
        <v>2236662</v>
      </c>
      <c r="Q228">
        <v>876225</v>
      </c>
      <c r="S228">
        <v>0</v>
      </c>
      <c r="T228">
        <v>344570</v>
      </c>
      <c r="U228">
        <v>34450</v>
      </c>
      <c r="V228">
        <v>0.88859999999999995</v>
      </c>
      <c r="W228">
        <v>0.86403333329999998</v>
      </c>
      <c r="X228">
        <v>1.5551999999999999</v>
      </c>
      <c r="Z228">
        <v>10266.959999999999</v>
      </c>
      <c r="AB228">
        <v>10267.450000000001</v>
      </c>
      <c r="AD228">
        <v>10266.780000000001</v>
      </c>
      <c r="AF228" t="s">
        <v>182</v>
      </c>
      <c r="AG228" t="s">
        <v>185</v>
      </c>
      <c r="AI228" t="s">
        <v>186</v>
      </c>
      <c r="AJ228" t="s">
        <v>867</v>
      </c>
      <c r="AK228" t="s">
        <v>188</v>
      </c>
    </row>
    <row r="229" spans="1:37" x14ac:dyDescent="0.3">
      <c r="A229">
        <v>8008</v>
      </c>
      <c r="B229" s="207">
        <v>46121</v>
      </c>
      <c r="C229" t="s">
        <v>438</v>
      </c>
      <c r="D229" t="s">
        <v>868</v>
      </c>
      <c r="E229" t="s">
        <v>869</v>
      </c>
      <c r="F229" s="207">
        <v>46477</v>
      </c>
      <c r="G229">
        <v>1.05</v>
      </c>
      <c r="H229">
        <v>23716</v>
      </c>
      <c r="I229">
        <v>23208147</v>
      </c>
      <c r="J229">
        <v>2.9889999999999999</v>
      </c>
      <c r="K229">
        <v>10238</v>
      </c>
      <c r="L229">
        <v>24280439</v>
      </c>
      <c r="M229">
        <v>53346</v>
      </c>
      <c r="N229">
        <v>1018946</v>
      </c>
      <c r="O229">
        <v>69977</v>
      </c>
      <c r="P229">
        <v>439487</v>
      </c>
      <c r="Q229">
        <v>509482</v>
      </c>
      <c r="S229">
        <v>0</v>
      </c>
      <c r="T229">
        <v>71310</v>
      </c>
      <c r="U229">
        <v>7120</v>
      </c>
      <c r="V229">
        <v>0.97350000000000003</v>
      </c>
      <c r="W229">
        <v>0.94550000000000001</v>
      </c>
      <c r="X229">
        <v>1.8039000000000001</v>
      </c>
      <c r="Z229">
        <v>10239.23</v>
      </c>
      <c r="AB229">
        <v>10237.719999999999</v>
      </c>
      <c r="AD229">
        <v>10238.06</v>
      </c>
      <c r="AF229" t="s">
        <v>182</v>
      </c>
      <c r="AG229" t="s">
        <v>185</v>
      </c>
      <c r="AI229" t="s">
        <v>186</v>
      </c>
      <c r="AJ229" t="s">
        <v>870</v>
      </c>
      <c r="AK229" t="s">
        <v>188</v>
      </c>
    </row>
    <row r="230" spans="1:37" x14ac:dyDescent="0.3">
      <c r="A230">
        <v>8008</v>
      </c>
      <c r="B230" s="207">
        <v>46121</v>
      </c>
      <c r="C230" t="s">
        <v>438</v>
      </c>
      <c r="D230" t="s">
        <v>871</v>
      </c>
      <c r="E230" t="s">
        <v>872</v>
      </c>
      <c r="F230" s="207">
        <v>46538</v>
      </c>
      <c r="G230">
        <v>1.05</v>
      </c>
      <c r="H230">
        <v>4000</v>
      </c>
      <c r="I230">
        <v>3900400</v>
      </c>
      <c r="J230">
        <v>3.0489999999999999</v>
      </c>
      <c r="K230">
        <v>10180</v>
      </c>
      <c r="L230">
        <v>4072000</v>
      </c>
      <c r="M230">
        <v>7018</v>
      </c>
      <c r="N230">
        <v>164582</v>
      </c>
      <c r="O230">
        <v>11782</v>
      </c>
      <c r="P230">
        <v>114677</v>
      </c>
      <c r="Q230">
        <v>38123</v>
      </c>
      <c r="S230">
        <v>0</v>
      </c>
      <c r="T230">
        <v>17690</v>
      </c>
      <c r="U230">
        <v>1760</v>
      </c>
      <c r="V230">
        <v>1.1406333333000001</v>
      </c>
      <c r="W230">
        <v>1.1080666666000001</v>
      </c>
      <c r="X230">
        <v>2.2645333333000002</v>
      </c>
      <c r="Z230">
        <v>10181.450000000001</v>
      </c>
      <c r="AB230">
        <v>10180.68</v>
      </c>
      <c r="AD230">
        <v>10180.66</v>
      </c>
      <c r="AF230" t="s">
        <v>182</v>
      </c>
      <c r="AG230" t="s">
        <v>185</v>
      </c>
      <c r="AI230" t="s">
        <v>186</v>
      </c>
      <c r="AJ230" t="s">
        <v>873</v>
      </c>
      <c r="AK230" t="s">
        <v>188</v>
      </c>
    </row>
    <row r="231" spans="1:37" x14ac:dyDescent="0.3">
      <c r="A231">
        <v>8008</v>
      </c>
      <c r="B231" s="207">
        <v>46121</v>
      </c>
      <c r="C231" t="s">
        <v>438</v>
      </c>
      <c r="D231" t="s">
        <v>874</v>
      </c>
      <c r="E231" t="s">
        <v>875</v>
      </c>
      <c r="F231" s="207">
        <v>47087</v>
      </c>
      <c r="G231">
        <v>2.5</v>
      </c>
      <c r="H231">
        <v>63260</v>
      </c>
      <c r="I231">
        <v>62019984</v>
      </c>
      <c r="J231">
        <v>3.4239999999999999</v>
      </c>
      <c r="K231">
        <v>10350</v>
      </c>
      <c r="L231">
        <v>65474100</v>
      </c>
      <c r="M231">
        <v>-340046</v>
      </c>
      <c r="N231">
        <v>3794162</v>
      </c>
      <c r="O231">
        <v>447591</v>
      </c>
      <c r="P231">
        <v>3228119</v>
      </c>
      <c r="Q231">
        <v>118452</v>
      </c>
      <c r="S231">
        <v>0</v>
      </c>
      <c r="T231">
        <v>514550</v>
      </c>
      <c r="U231">
        <v>51430</v>
      </c>
      <c r="V231">
        <v>2.6429</v>
      </c>
      <c r="W231">
        <v>2.5570333333000002</v>
      </c>
      <c r="X231">
        <v>8.9396666666000009</v>
      </c>
      <c r="Z231">
        <v>10348.48</v>
      </c>
      <c r="AB231">
        <v>10353.59</v>
      </c>
      <c r="AD231">
        <v>10348.209999999999</v>
      </c>
      <c r="AF231" t="s">
        <v>182</v>
      </c>
      <c r="AG231" t="s">
        <v>185</v>
      </c>
      <c r="AI231" t="s">
        <v>186</v>
      </c>
      <c r="AJ231" t="s">
        <v>876</v>
      </c>
      <c r="AK231" t="s">
        <v>188</v>
      </c>
    </row>
    <row r="232" spans="1:37" x14ac:dyDescent="0.3">
      <c r="A232">
        <v>8008</v>
      </c>
      <c r="B232" s="207">
        <v>46121</v>
      </c>
      <c r="C232" t="s">
        <v>438</v>
      </c>
      <c r="D232" t="s">
        <v>877</v>
      </c>
      <c r="E232" t="s">
        <v>878</v>
      </c>
      <c r="F232" s="207">
        <v>47452</v>
      </c>
      <c r="G232">
        <v>2.5</v>
      </c>
      <c r="H232">
        <v>170500</v>
      </c>
      <c r="I232">
        <v>165381360</v>
      </c>
      <c r="J232">
        <v>3.5670000000000002</v>
      </c>
      <c r="K232">
        <v>9956</v>
      </c>
      <c r="L232">
        <v>169749800</v>
      </c>
      <c r="M232">
        <v>-1449736</v>
      </c>
      <c r="N232">
        <v>5818176</v>
      </c>
      <c r="O232">
        <v>1176936</v>
      </c>
      <c r="P232">
        <v>3147210</v>
      </c>
      <c r="Q232">
        <v>1494030</v>
      </c>
      <c r="S232">
        <v>0</v>
      </c>
      <c r="T232">
        <v>605370</v>
      </c>
      <c r="U232">
        <v>60530</v>
      </c>
      <c r="V232">
        <v>3.6429</v>
      </c>
      <c r="W232">
        <v>3.5191333333000001</v>
      </c>
      <c r="X232">
        <v>15.711333333300001</v>
      </c>
      <c r="Z232">
        <v>9953.58</v>
      </c>
      <c r="AB232">
        <v>9962.07</v>
      </c>
      <c r="AD232">
        <v>9954.98</v>
      </c>
      <c r="AF232" t="s">
        <v>182</v>
      </c>
      <c r="AG232" t="s">
        <v>185</v>
      </c>
      <c r="AI232" t="s">
        <v>186</v>
      </c>
      <c r="AJ232" t="s">
        <v>879</v>
      </c>
      <c r="AK232" t="s">
        <v>188</v>
      </c>
    </row>
    <row r="233" spans="1:37" x14ac:dyDescent="0.3">
      <c r="A233">
        <v>8008</v>
      </c>
      <c r="B233" s="207">
        <v>46121</v>
      </c>
      <c r="C233" t="s">
        <v>438</v>
      </c>
      <c r="D233" t="s">
        <v>880</v>
      </c>
      <c r="E233" t="s">
        <v>881</v>
      </c>
      <c r="F233" s="207">
        <v>47514</v>
      </c>
      <c r="G233">
        <v>2.5</v>
      </c>
      <c r="H233">
        <v>130602</v>
      </c>
      <c r="I233">
        <v>126419883</v>
      </c>
      <c r="J233">
        <v>3.5739999999999998</v>
      </c>
      <c r="K233">
        <v>9895</v>
      </c>
      <c r="L233">
        <v>129230678</v>
      </c>
      <c r="M233">
        <v>-1080594</v>
      </c>
      <c r="N233">
        <v>3891389</v>
      </c>
      <c r="O233">
        <v>897752</v>
      </c>
      <c r="P233">
        <v>2566891</v>
      </c>
      <c r="Q233">
        <v>426746</v>
      </c>
      <c r="S233">
        <v>0</v>
      </c>
      <c r="T233">
        <v>485040</v>
      </c>
      <c r="U233">
        <v>48500</v>
      </c>
      <c r="V233">
        <v>3.8128000000000002</v>
      </c>
      <c r="W233">
        <v>3.6819999999999999</v>
      </c>
      <c r="X233">
        <v>17.0657</v>
      </c>
      <c r="Z233">
        <v>9889.7000000000007</v>
      </c>
      <c r="AB233">
        <v>9902.9</v>
      </c>
      <c r="AD233">
        <v>9894.7999999999993</v>
      </c>
      <c r="AF233" t="s">
        <v>182</v>
      </c>
      <c r="AG233" t="s">
        <v>185</v>
      </c>
      <c r="AI233" t="s">
        <v>186</v>
      </c>
      <c r="AJ233" t="s">
        <v>882</v>
      </c>
      <c r="AK233" t="s">
        <v>188</v>
      </c>
    </row>
    <row r="234" spans="1:37" x14ac:dyDescent="0.3">
      <c r="A234">
        <v>8008</v>
      </c>
      <c r="B234" s="207">
        <v>46121</v>
      </c>
      <c r="C234" t="s">
        <v>438</v>
      </c>
      <c r="D234" t="s">
        <v>883</v>
      </c>
      <c r="E234" t="s">
        <v>884</v>
      </c>
      <c r="F234" s="207">
        <v>47542</v>
      </c>
      <c r="G234">
        <v>2.5</v>
      </c>
      <c r="H234">
        <v>768</v>
      </c>
      <c r="I234">
        <v>742513</v>
      </c>
      <c r="J234">
        <v>3.577</v>
      </c>
      <c r="K234">
        <v>9868</v>
      </c>
      <c r="L234">
        <v>757862</v>
      </c>
      <c r="M234">
        <v>-6037</v>
      </c>
      <c r="N234">
        <v>21386</v>
      </c>
      <c r="O234">
        <v>5269</v>
      </c>
      <c r="P234">
        <v>13255</v>
      </c>
      <c r="Q234">
        <v>2862</v>
      </c>
      <c r="S234">
        <v>0</v>
      </c>
      <c r="T234">
        <v>2590</v>
      </c>
      <c r="U234">
        <v>250</v>
      </c>
      <c r="V234">
        <v>3.8895</v>
      </c>
      <c r="W234">
        <v>3.7553666666000001</v>
      </c>
      <c r="X234">
        <v>17.698599999999999</v>
      </c>
      <c r="Z234">
        <v>9861.08</v>
      </c>
      <c r="AB234">
        <v>9876.7199999999993</v>
      </c>
      <c r="AD234">
        <v>9867.75</v>
      </c>
      <c r="AF234" t="s">
        <v>182</v>
      </c>
      <c r="AG234" t="s">
        <v>185</v>
      </c>
      <c r="AI234" t="s">
        <v>186</v>
      </c>
      <c r="AJ234" t="s">
        <v>885</v>
      </c>
      <c r="AK234" t="s">
        <v>188</v>
      </c>
    </row>
    <row r="235" spans="1:37" x14ac:dyDescent="0.3">
      <c r="A235">
        <v>8008</v>
      </c>
      <c r="B235" s="207">
        <v>46121</v>
      </c>
      <c r="C235" t="s">
        <v>438</v>
      </c>
      <c r="D235" t="s">
        <v>886</v>
      </c>
      <c r="E235" t="s">
        <v>887</v>
      </c>
      <c r="F235" s="207">
        <v>46387</v>
      </c>
      <c r="G235">
        <v>1.05</v>
      </c>
      <c r="H235">
        <v>93</v>
      </c>
      <c r="I235">
        <v>91466</v>
      </c>
      <c r="J235">
        <v>2.879</v>
      </c>
      <c r="K235">
        <v>10320</v>
      </c>
      <c r="L235">
        <v>95976</v>
      </c>
      <c r="M235">
        <v>265</v>
      </c>
      <c r="N235">
        <v>4245</v>
      </c>
      <c r="O235">
        <v>275</v>
      </c>
      <c r="P235">
        <v>180</v>
      </c>
      <c r="Q235">
        <v>3790</v>
      </c>
      <c r="S235">
        <v>0</v>
      </c>
      <c r="T235">
        <v>60</v>
      </c>
      <c r="U235">
        <v>0</v>
      </c>
      <c r="V235">
        <v>0.72693333329999998</v>
      </c>
      <c r="W235">
        <v>0.70840000000000003</v>
      </c>
      <c r="X235">
        <v>1.1285666666</v>
      </c>
      <c r="Z235">
        <v>10319.76</v>
      </c>
      <c r="AB235">
        <v>10321.15</v>
      </c>
      <c r="AD235">
        <v>10319.91</v>
      </c>
      <c r="AF235" t="s">
        <v>182</v>
      </c>
      <c r="AG235" t="s">
        <v>185</v>
      </c>
      <c r="AI235" t="s">
        <v>186</v>
      </c>
      <c r="AJ235" t="s">
        <v>888</v>
      </c>
      <c r="AK235" t="s">
        <v>188</v>
      </c>
    </row>
    <row r="236" spans="1:37" x14ac:dyDescent="0.3">
      <c r="A236">
        <v>8008</v>
      </c>
      <c r="B236" s="207">
        <v>46121</v>
      </c>
      <c r="C236" t="s">
        <v>438</v>
      </c>
      <c r="D236" t="s">
        <v>889</v>
      </c>
      <c r="E236" t="s">
        <v>890</v>
      </c>
      <c r="F236" s="207">
        <v>46630</v>
      </c>
      <c r="G236">
        <v>1.05</v>
      </c>
      <c r="H236">
        <v>66792</v>
      </c>
      <c r="I236">
        <v>64776868</v>
      </c>
      <c r="J236">
        <v>3.1349999999999998</v>
      </c>
      <c r="K236">
        <v>10091</v>
      </c>
      <c r="L236">
        <v>67399807</v>
      </c>
      <c r="M236">
        <v>57593</v>
      </c>
      <c r="N236">
        <v>2565346</v>
      </c>
      <c r="O236">
        <v>196217</v>
      </c>
      <c r="P236">
        <v>1995510</v>
      </c>
      <c r="Q236">
        <v>373619</v>
      </c>
      <c r="S236">
        <v>0</v>
      </c>
      <c r="T236">
        <v>306830</v>
      </c>
      <c r="U236">
        <v>30670</v>
      </c>
      <c r="V236">
        <v>1.3927</v>
      </c>
      <c r="W236">
        <v>1.3527333333</v>
      </c>
      <c r="X236">
        <v>3.0663666666</v>
      </c>
      <c r="Z236">
        <v>10090.549999999999</v>
      </c>
      <c r="AB236">
        <v>10093.290000000001</v>
      </c>
      <c r="AD236">
        <v>10091.64</v>
      </c>
      <c r="AF236" t="s">
        <v>182</v>
      </c>
      <c r="AG236" t="s">
        <v>185</v>
      </c>
      <c r="AI236" t="s">
        <v>186</v>
      </c>
      <c r="AJ236" t="s">
        <v>891</v>
      </c>
      <c r="AK236" t="s">
        <v>188</v>
      </c>
    </row>
    <row r="237" spans="1:37" x14ac:dyDescent="0.3">
      <c r="A237">
        <v>8008</v>
      </c>
      <c r="B237" s="207">
        <v>46121</v>
      </c>
      <c r="C237" t="s">
        <v>438</v>
      </c>
      <c r="D237" t="s">
        <v>892</v>
      </c>
      <c r="E237" t="s">
        <v>893</v>
      </c>
      <c r="F237" s="207">
        <v>46721</v>
      </c>
      <c r="G237">
        <v>1.05</v>
      </c>
      <c r="H237">
        <v>55513</v>
      </c>
      <c r="I237">
        <v>53549102</v>
      </c>
      <c r="J237">
        <v>3.2069999999999999</v>
      </c>
      <c r="K237">
        <v>10002</v>
      </c>
      <c r="L237">
        <v>55524101</v>
      </c>
      <c r="M237">
        <v>-7221</v>
      </c>
      <c r="N237">
        <v>1982220</v>
      </c>
      <c r="O237">
        <v>162658</v>
      </c>
      <c r="P237">
        <v>1739564</v>
      </c>
      <c r="Q237">
        <v>79998</v>
      </c>
      <c r="S237">
        <v>0</v>
      </c>
      <c r="T237">
        <v>266290</v>
      </c>
      <c r="U237">
        <v>26610</v>
      </c>
      <c r="V237">
        <v>1.6419999999999999</v>
      </c>
      <c r="W237">
        <v>1.5933333332999999</v>
      </c>
      <c r="X237">
        <v>4.0110666665999997</v>
      </c>
      <c r="Z237">
        <v>10000.870000000001</v>
      </c>
      <c r="AB237">
        <v>10005.64</v>
      </c>
      <c r="AD237">
        <v>10002.469999999999</v>
      </c>
      <c r="AF237" t="s">
        <v>182</v>
      </c>
      <c r="AG237" t="s">
        <v>185</v>
      </c>
      <c r="AI237" t="s">
        <v>186</v>
      </c>
      <c r="AJ237" t="s">
        <v>894</v>
      </c>
      <c r="AK237" t="s">
        <v>188</v>
      </c>
    </row>
    <row r="238" spans="1:37" x14ac:dyDescent="0.3">
      <c r="A238">
        <v>8008</v>
      </c>
      <c r="B238" s="207">
        <v>46121</v>
      </c>
      <c r="C238" t="s">
        <v>438</v>
      </c>
      <c r="D238" t="s">
        <v>895</v>
      </c>
      <c r="E238" t="s">
        <v>896</v>
      </c>
      <c r="F238" s="207">
        <v>46752</v>
      </c>
      <c r="G238">
        <v>1.05</v>
      </c>
      <c r="H238">
        <v>47222</v>
      </c>
      <c r="I238">
        <v>45467163</v>
      </c>
      <c r="J238">
        <v>3.2290000000000001</v>
      </c>
      <c r="K238">
        <v>9972</v>
      </c>
      <c r="L238">
        <v>47089778</v>
      </c>
      <c r="M238">
        <v>-20187</v>
      </c>
      <c r="N238">
        <v>1642802</v>
      </c>
      <c r="O238">
        <v>138243</v>
      </c>
      <c r="P238">
        <v>816630</v>
      </c>
      <c r="Q238">
        <v>687929</v>
      </c>
      <c r="S238">
        <v>0</v>
      </c>
      <c r="T238">
        <v>133670</v>
      </c>
      <c r="U238">
        <v>13360</v>
      </c>
      <c r="V238">
        <v>1.7269333333000001</v>
      </c>
      <c r="W238">
        <v>1.6749333333</v>
      </c>
      <c r="X238">
        <v>4.3666333333000003</v>
      </c>
      <c r="Z238">
        <v>9970.1299999999992</v>
      </c>
      <c r="AB238">
        <v>9975.7800000000007</v>
      </c>
      <c r="AD238">
        <v>9972.1299999999992</v>
      </c>
      <c r="AF238" t="s">
        <v>182</v>
      </c>
      <c r="AG238" t="s">
        <v>185</v>
      </c>
      <c r="AI238" t="s">
        <v>186</v>
      </c>
      <c r="AJ238" t="s">
        <v>897</v>
      </c>
      <c r="AK238" t="s">
        <v>188</v>
      </c>
    </row>
    <row r="239" spans="1:37" x14ac:dyDescent="0.3">
      <c r="A239">
        <v>8008</v>
      </c>
      <c r="B239" s="207">
        <v>46121</v>
      </c>
      <c r="C239" t="s">
        <v>438</v>
      </c>
      <c r="D239" t="s">
        <v>898</v>
      </c>
      <c r="E239" t="s">
        <v>899</v>
      </c>
      <c r="F239" s="207">
        <v>46783</v>
      </c>
      <c r="G239">
        <v>2.5</v>
      </c>
      <c r="H239">
        <v>24740</v>
      </c>
      <c r="I239">
        <v>24499848</v>
      </c>
      <c r="J239">
        <v>3.25</v>
      </c>
      <c r="K239">
        <v>10676</v>
      </c>
      <c r="L239">
        <v>26412422</v>
      </c>
      <c r="M239">
        <v>-114351</v>
      </c>
      <c r="N239">
        <v>2026925</v>
      </c>
      <c r="O239">
        <v>178673</v>
      </c>
      <c r="P239">
        <v>1123690</v>
      </c>
      <c r="Q239">
        <v>724562</v>
      </c>
      <c r="S239">
        <v>0</v>
      </c>
      <c r="T239">
        <v>182300</v>
      </c>
      <c r="U239">
        <v>18200</v>
      </c>
      <c r="V239">
        <v>1.8119000000000001</v>
      </c>
      <c r="W239">
        <v>1.7564333333</v>
      </c>
      <c r="X239">
        <v>4.7390333333000001</v>
      </c>
      <c r="Z239">
        <v>10673.66</v>
      </c>
      <c r="AB239">
        <v>10680.12</v>
      </c>
      <c r="AD239">
        <v>10675.72</v>
      </c>
      <c r="AF239" t="s">
        <v>182</v>
      </c>
      <c r="AG239" t="s">
        <v>185</v>
      </c>
      <c r="AI239" t="s">
        <v>186</v>
      </c>
      <c r="AJ239" t="s">
        <v>900</v>
      </c>
      <c r="AK239" t="s">
        <v>188</v>
      </c>
    </row>
    <row r="240" spans="1:37" x14ac:dyDescent="0.3">
      <c r="A240">
        <v>8008</v>
      </c>
      <c r="B240" s="207">
        <v>46121</v>
      </c>
      <c r="C240" t="s">
        <v>438</v>
      </c>
      <c r="D240" t="s">
        <v>901</v>
      </c>
      <c r="E240" t="s">
        <v>902</v>
      </c>
      <c r="F240" s="207">
        <v>46812</v>
      </c>
      <c r="G240">
        <v>2.5</v>
      </c>
      <c r="H240">
        <v>1125</v>
      </c>
      <c r="I240">
        <v>1113105</v>
      </c>
      <c r="J240">
        <v>3.2709999999999999</v>
      </c>
      <c r="K240">
        <v>10646</v>
      </c>
      <c r="L240">
        <v>1197675</v>
      </c>
      <c r="M240">
        <v>-5296</v>
      </c>
      <c r="N240">
        <v>89866</v>
      </c>
      <c r="O240">
        <v>8109</v>
      </c>
      <c r="P240">
        <v>47609</v>
      </c>
      <c r="Q240">
        <v>34148</v>
      </c>
      <c r="S240">
        <v>0</v>
      </c>
      <c r="T240">
        <v>7800</v>
      </c>
      <c r="U240">
        <v>780</v>
      </c>
      <c r="V240">
        <v>1.8895</v>
      </c>
      <c r="W240">
        <v>1.8297666666000001</v>
      </c>
      <c r="X240">
        <v>5.0894666665999999</v>
      </c>
      <c r="Z240">
        <v>10643</v>
      </c>
      <c r="AB240">
        <v>10650.68</v>
      </c>
      <c r="AD240">
        <v>10645.73</v>
      </c>
      <c r="AF240" t="s">
        <v>182</v>
      </c>
      <c r="AG240" t="s">
        <v>185</v>
      </c>
      <c r="AI240" t="s">
        <v>186</v>
      </c>
      <c r="AJ240" t="s">
        <v>903</v>
      </c>
      <c r="AK240" t="s">
        <v>188</v>
      </c>
    </row>
    <row r="241" spans="1:37" x14ac:dyDescent="0.3">
      <c r="A241">
        <v>8008</v>
      </c>
      <c r="B241" s="207">
        <v>46121</v>
      </c>
      <c r="C241" t="s">
        <v>438</v>
      </c>
      <c r="D241" t="s">
        <v>904</v>
      </c>
      <c r="E241" t="s">
        <v>905</v>
      </c>
      <c r="F241" s="207">
        <v>46904</v>
      </c>
      <c r="G241">
        <v>2.5</v>
      </c>
      <c r="H241">
        <v>9220</v>
      </c>
      <c r="I241">
        <v>9094442</v>
      </c>
      <c r="J241">
        <v>3.3180000000000001</v>
      </c>
      <c r="K241">
        <v>10550</v>
      </c>
      <c r="L241">
        <v>9727100</v>
      </c>
      <c r="M241">
        <v>-42073</v>
      </c>
      <c r="N241">
        <v>674731</v>
      </c>
      <c r="O241">
        <v>66047</v>
      </c>
      <c r="P241">
        <v>507466</v>
      </c>
      <c r="Q241">
        <v>101218</v>
      </c>
      <c r="S241">
        <v>0</v>
      </c>
      <c r="T241">
        <v>80260</v>
      </c>
      <c r="U241">
        <v>8000</v>
      </c>
      <c r="V241">
        <v>2.1415666666000002</v>
      </c>
      <c r="W241">
        <v>2.0731666666000002</v>
      </c>
      <c r="X241">
        <v>6.2661666666000002</v>
      </c>
      <c r="Z241">
        <v>10547.66</v>
      </c>
      <c r="AB241">
        <v>10554.08</v>
      </c>
      <c r="AD241">
        <v>10548.53</v>
      </c>
      <c r="AF241" t="s">
        <v>182</v>
      </c>
      <c r="AG241" t="s">
        <v>185</v>
      </c>
      <c r="AI241" t="s">
        <v>186</v>
      </c>
      <c r="AJ241" t="s">
        <v>906</v>
      </c>
      <c r="AK241" t="s">
        <v>188</v>
      </c>
    </row>
    <row r="242" spans="1:37" x14ac:dyDescent="0.3">
      <c r="A242">
        <v>8008</v>
      </c>
      <c r="B242" s="207">
        <v>46121</v>
      </c>
      <c r="C242" t="s">
        <v>438</v>
      </c>
      <c r="D242" t="s">
        <v>907</v>
      </c>
      <c r="E242" t="s">
        <v>908</v>
      </c>
      <c r="F242" s="207">
        <v>46934</v>
      </c>
      <c r="G242">
        <v>2.5</v>
      </c>
      <c r="H242">
        <v>32619</v>
      </c>
      <c r="I242">
        <v>32144178</v>
      </c>
      <c r="J242">
        <v>3.3290000000000002</v>
      </c>
      <c r="K242">
        <v>10518</v>
      </c>
      <c r="L242">
        <v>34308663</v>
      </c>
      <c r="M242">
        <v>-151647</v>
      </c>
      <c r="N242">
        <v>2316132</v>
      </c>
      <c r="O242">
        <v>233194</v>
      </c>
      <c r="P242">
        <v>1723384</v>
      </c>
      <c r="Q242">
        <v>359554</v>
      </c>
      <c r="S242">
        <v>0</v>
      </c>
      <c r="T242">
        <v>273890</v>
      </c>
      <c r="U242">
        <v>27360</v>
      </c>
      <c r="V242">
        <v>2.2237666666</v>
      </c>
      <c r="W242">
        <v>2.1530333332999998</v>
      </c>
      <c r="X242">
        <v>6.6643333333000001</v>
      </c>
      <c r="Z242">
        <v>10516.97</v>
      </c>
      <c r="AB242">
        <v>10522.72</v>
      </c>
      <c r="AD242">
        <v>10516.97</v>
      </c>
      <c r="AF242" t="s">
        <v>182</v>
      </c>
      <c r="AG242" t="s">
        <v>185</v>
      </c>
      <c r="AI242" t="s">
        <v>186</v>
      </c>
      <c r="AJ242" t="s">
        <v>909</v>
      </c>
      <c r="AK242" t="s">
        <v>188</v>
      </c>
    </row>
    <row r="243" spans="1:37" x14ac:dyDescent="0.3">
      <c r="A243">
        <v>8008</v>
      </c>
      <c r="B243" s="207">
        <v>46121</v>
      </c>
      <c r="C243" t="s">
        <v>438</v>
      </c>
      <c r="D243" t="s">
        <v>910</v>
      </c>
      <c r="E243" t="s">
        <v>911</v>
      </c>
      <c r="F243" s="207">
        <v>46965</v>
      </c>
      <c r="G243">
        <v>2.5</v>
      </c>
      <c r="H243">
        <v>91475</v>
      </c>
      <c r="I243">
        <v>90054587</v>
      </c>
      <c r="J243">
        <v>3.3410000000000002</v>
      </c>
      <c r="K243">
        <v>10486</v>
      </c>
      <c r="L243">
        <v>95920685</v>
      </c>
      <c r="M243">
        <v>-423901</v>
      </c>
      <c r="N243">
        <v>6289999</v>
      </c>
      <c r="O243">
        <v>652589</v>
      </c>
      <c r="P243">
        <v>5442847</v>
      </c>
      <c r="Q243">
        <v>194563</v>
      </c>
      <c r="S243">
        <v>0</v>
      </c>
      <c r="T243">
        <v>853350</v>
      </c>
      <c r="U243">
        <v>85330</v>
      </c>
      <c r="V243">
        <v>2.3086666666000002</v>
      </c>
      <c r="W243">
        <v>2.2354333333</v>
      </c>
      <c r="X243">
        <v>7.0929333333000004</v>
      </c>
      <c r="Z243">
        <v>10485.34</v>
      </c>
      <c r="AB243">
        <v>10490.35</v>
      </c>
      <c r="AD243">
        <v>10484.4</v>
      </c>
      <c r="AF243" t="s">
        <v>182</v>
      </c>
      <c r="AG243" t="s">
        <v>185</v>
      </c>
      <c r="AI243" t="s">
        <v>186</v>
      </c>
      <c r="AJ243" t="s">
        <v>912</v>
      </c>
      <c r="AK243" t="s">
        <v>188</v>
      </c>
    </row>
    <row r="244" spans="1:37" x14ac:dyDescent="0.3">
      <c r="A244">
        <v>8008</v>
      </c>
      <c r="B244" s="207">
        <v>46121</v>
      </c>
      <c r="C244" t="s">
        <v>438</v>
      </c>
      <c r="D244" t="s">
        <v>913</v>
      </c>
      <c r="E244" t="s">
        <v>914</v>
      </c>
      <c r="F244" s="207">
        <v>46996</v>
      </c>
      <c r="G244">
        <v>2.5</v>
      </c>
      <c r="H244">
        <v>300</v>
      </c>
      <c r="I244">
        <v>295049</v>
      </c>
      <c r="J244">
        <v>3.355</v>
      </c>
      <c r="K244">
        <v>10454</v>
      </c>
      <c r="L244">
        <v>313620</v>
      </c>
      <c r="M244">
        <v>-1385</v>
      </c>
      <c r="N244">
        <v>19956</v>
      </c>
      <c r="O244">
        <v>2136</v>
      </c>
      <c r="P244">
        <v>14016</v>
      </c>
      <c r="Q244">
        <v>3804</v>
      </c>
      <c r="S244">
        <v>0</v>
      </c>
      <c r="T244">
        <v>2250</v>
      </c>
      <c r="U244">
        <v>220</v>
      </c>
      <c r="V244">
        <v>2.3936000000000002</v>
      </c>
      <c r="W244">
        <v>2.3175666665999999</v>
      </c>
      <c r="X244">
        <v>7.5385333333000002</v>
      </c>
      <c r="Z244">
        <v>10452.52</v>
      </c>
      <c r="AB244">
        <v>10457.700000000001</v>
      </c>
      <c r="AD244">
        <v>10451.799999999999</v>
      </c>
      <c r="AF244" t="s">
        <v>182</v>
      </c>
      <c r="AG244" t="s">
        <v>185</v>
      </c>
      <c r="AI244" t="s">
        <v>186</v>
      </c>
      <c r="AJ244" t="s">
        <v>915</v>
      </c>
      <c r="AK244" t="s">
        <v>188</v>
      </c>
    </row>
    <row r="245" spans="1:37" x14ac:dyDescent="0.3">
      <c r="A245">
        <v>8008</v>
      </c>
      <c r="B245" s="207">
        <v>46121</v>
      </c>
      <c r="C245" t="s">
        <v>438</v>
      </c>
      <c r="D245" t="s">
        <v>916</v>
      </c>
      <c r="E245" t="s">
        <v>917</v>
      </c>
      <c r="F245" s="207">
        <v>47026</v>
      </c>
      <c r="G245">
        <v>2.5</v>
      </c>
      <c r="H245">
        <v>30078</v>
      </c>
      <c r="I245">
        <v>29549956</v>
      </c>
      <c r="J245">
        <v>3.3679999999999999</v>
      </c>
      <c r="K245">
        <v>10422</v>
      </c>
      <c r="L245">
        <v>31347291</v>
      </c>
      <c r="M245">
        <v>-138501</v>
      </c>
      <c r="N245">
        <v>1935836</v>
      </c>
      <c r="O245">
        <v>213696</v>
      </c>
      <c r="P245">
        <v>1643156</v>
      </c>
      <c r="Q245">
        <v>78984</v>
      </c>
      <c r="S245">
        <v>0</v>
      </c>
      <c r="T245">
        <v>259950</v>
      </c>
      <c r="U245">
        <v>25990</v>
      </c>
      <c r="V245">
        <v>2.4758</v>
      </c>
      <c r="W245">
        <v>2.3969333332999998</v>
      </c>
      <c r="X245">
        <v>7.9860333333</v>
      </c>
      <c r="Z245">
        <v>10420.85</v>
      </c>
      <c r="AB245">
        <v>10426.18</v>
      </c>
      <c r="AD245">
        <v>10420.1</v>
      </c>
      <c r="AF245" t="s">
        <v>182</v>
      </c>
      <c r="AG245" t="s">
        <v>185</v>
      </c>
      <c r="AI245" t="s">
        <v>186</v>
      </c>
      <c r="AJ245" t="s">
        <v>918</v>
      </c>
      <c r="AK245" t="s">
        <v>188</v>
      </c>
    </row>
    <row r="246" spans="1:37" x14ac:dyDescent="0.3">
      <c r="A246">
        <v>8008</v>
      </c>
      <c r="B246" s="207">
        <v>46121</v>
      </c>
      <c r="C246" t="s">
        <v>438</v>
      </c>
      <c r="D246" t="s">
        <v>919</v>
      </c>
      <c r="E246" t="s">
        <v>920</v>
      </c>
      <c r="F246" s="207">
        <v>47057</v>
      </c>
      <c r="G246">
        <v>2.5</v>
      </c>
      <c r="H246">
        <v>10000</v>
      </c>
      <c r="I246">
        <v>9377466</v>
      </c>
      <c r="J246">
        <v>3.3929999999999998</v>
      </c>
      <c r="K246">
        <v>10386</v>
      </c>
      <c r="L246">
        <v>10386000</v>
      </c>
      <c r="M246">
        <v>387227</v>
      </c>
      <c r="N246">
        <v>621307</v>
      </c>
      <c r="O246">
        <v>10773</v>
      </c>
      <c r="P246">
        <v>0</v>
      </c>
      <c r="Q246">
        <v>610534</v>
      </c>
      <c r="S246">
        <v>0</v>
      </c>
      <c r="T246">
        <v>1500</v>
      </c>
      <c r="U246">
        <v>150</v>
      </c>
      <c r="V246">
        <v>2.5607000000000002</v>
      </c>
      <c r="W246">
        <v>2.4784666666000001</v>
      </c>
      <c r="X246">
        <v>8.4631333333000001</v>
      </c>
      <c r="Z246">
        <v>10385.35</v>
      </c>
      <c r="AB246">
        <v>10390.07</v>
      </c>
      <c r="AD246">
        <v>10384.06</v>
      </c>
      <c r="AF246" t="s">
        <v>182</v>
      </c>
      <c r="AG246" t="s">
        <v>185</v>
      </c>
      <c r="AI246" t="s">
        <v>186</v>
      </c>
      <c r="AJ246" t="s">
        <v>921</v>
      </c>
      <c r="AK246" t="s">
        <v>188</v>
      </c>
    </row>
    <row r="247" spans="1:37" x14ac:dyDescent="0.3">
      <c r="A247">
        <v>8008</v>
      </c>
      <c r="B247" s="207">
        <v>46121</v>
      </c>
      <c r="C247" t="s">
        <v>438</v>
      </c>
      <c r="D247" t="s">
        <v>922</v>
      </c>
      <c r="E247" t="s">
        <v>923</v>
      </c>
      <c r="F247" s="207">
        <v>47118</v>
      </c>
      <c r="G247">
        <v>2.5</v>
      </c>
      <c r="H247">
        <v>49576</v>
      </c>
      <c r="I247">
        <v>48554929</v>
      </c>
      <c r="J247">
        <v>3.4550000000000001</v>
      </c>
      <c r="K247">
        <v>10312</v>
      </c>
      <c r="L247">
        <v>51122771</v>
      </c>
      <c r="M247">
        <v>-295502</v>
      </c>
      <c r="N247">
        <v>2863344</v>
      </c>
      <c r="O247">
        <v>350036</v>
      </c>
      <c r="P247">
        <v>1682326</v>
      </c>
      <c r="Q247">
        <v>830982</v>
      </c>
      <c r="S247">
        <v>0</v>
      </c>
      <c r="T247">
        <v>284520</v>
      </c>
      <c r="U247">
        <v>28450</v>
      </c>
      <c r="V247">
        <v>2.7278666666000002</v>
      </c>
      <c r="W247">
        <v>2.6379999999999999</v>
      </c>
      <c r="X247">
        <v>9.4481333332999995</v>
      </c>
      <c r="Z247">
        <v>10310.89</v>
      </c>
      <c r="AB247">
        <v>10315.32</v>
      </c>
      <c r="AD247">
        <v>10310.620000000001</v>
      </c>
      <c r="AF247" t="s">
        <v>182</v>
      </c>
      <c r="AG247" t="s">
        <v>185</v>
      </c>
      <c r="AI247" t="s">
        <v>186</v>
      </c>
      <c r="AJ247" t="s">
        <v>924</v>
      </c>
      <c r="AK247" t="s">
        <v>188</v>
      </c>
    </row>
    <row r="248" spans="1:37" x14ac:dyDescent="0.3">
      <c r="A248">
        <v>8008</v>
      </c>
      <c r="B248" s="207">
        <v>46121</v>
      </c>
      <c r="C248" t="s">
        <v>438</v>
      </c>
      <c r="D248" t="s">
        <v>925</v>
      </c>
      <c r="E248" t="s">
        <v>926</v>
      </c>
      <c r="F248" s="207">
        <v>47208</v>
      </c>
      <c r="G248">
        <v>2.5</v>
      </c>
      <c r="H248">
        <v>3048</v>
      </c>
      <c r="I248">
        <v>2951134</v>
      </c>
      <c r="J248">
        <v>3.5419999999999998</v>
      </c>
      <c r="K248">
        <v>10201</v>
      </c>
      <c r="L248">
        <v>3109264</v>
      </c>
      <c r="M248">
        <v>1659</v>
      </c>
      <c r="N248">
        <v>156471</v>
      </c>
      <c r="O248">
        <v>14698</v>
      </c>
      <c r="P248">
        <v>68576</v>
      </c>
      <c r="Q248">
        <v>73197</v>
      </c>
      <c r="S248">
        <v>0</v>
      </c>
      <c r="T248">
        <v>11640</v>
      </c>
      <c r="U248">
        <v>1150</v>
      </c>
      <c r="V248">
        <v>2.9744000000000002</v>
      </c>
      <c r="W248">
        <v>2.8720666665999999</v>
      </c>
      <c r="X248">
        <v>11.0145666666</v>
      </c>
      <c r="Z248">
        <v>10202.31</v>
      </c>
      <c r="AB248">
        <v>10202.379999999999</v>
      </c>
      <c r="AD248">
        <v>10199.969999999999</v>
      </c>
      <c r="AF248" t="s">
        <v>182</v>
      </c>
      <c r="AG248" t="s">
        <v>185</v>
      </c>
      <c r="AI248" t="s">
        <v>186</v>
      </c>
      <c r="AJ248" t="s">
        <v>927</v>
      </c>
      <c r="AK248" t="s">
        <v>188</v>
      </c>
    </row>
    <row r="249" spans="1:37" x14ac:dyDescent="0.3">
      <c r="A249">
        <v>8008</v>
      </c>
      <c r="B249" s="207">
        <v>46121</v>
      </c>
      <c r="C249" t="s">
        <v>438</v>
      </c>
      <c r="D249" t="s">
        <v>928</v>
      </c>
      <c r="E249" t="s">
        <v>929</v>
      </c>
      <c r="F249" s="207">
        <v>47238</v>
      </c>
      <c r="G249">
        <v>2.5</v>
      </c>
      <c r="H249">
        <v>65886</v>
      </c>
      <c r="I249">
        <v>63337059</v>
      </c>
      <c r="J249">
        <v>3.552</v>
      </c>
      <c r="K249">
        <v>10169</v>
      </c>
      <c r="L249">
        <v>66999472</v>
      </c>
      <c r="M249">
        <v>420532</v>
      </c>
      <c r="N249">
        <v>3241881</v>
      </c>
      <c r="O249">
        <v>341228</v>
      </c>
      <c r="P249">
        <v>1458052</v>
      </c>
      <c r="Q249">
        <v>1442601</v>
      </c>
      <c r="S249">
        <v>0</v>
      </c>
      <c r="T249">
        <v>251870</v>
      </c>
      <c r="U249">
        <v>25150</v>
      </c>
      <c r="V249">
        <v>3.0566</v>
      </c>
      <c r="W249">
        <v>2.9514999999999998</v>
      </c>
      <c r="X249">
        <v>11.544766666599999</v>
      </c>
      <c r="Z249">
        <v>10169.42</v>
      </c>
      <c r="AB249">
        <v>10170.39</v>
      </c>
      <c r="AD249">
        <v>10167.92</v>
      </c>
      <c r="AF249" t="s">
        <v>182</v>
      </c>
      <c r="AG249" t="s">
        <v>185</v>
      </c>
      <c r="AI249" t="s">
        <v>186</v>
      </c>
      <c r="AJ249" t="s">
        <v>930</v>
      </c>
      <c r="AK249" t="s">
        <v>188</v>
      </c>
    </row>
    <row r="250" spans="1:37" x14ac:dyDescent="0.3">
      <c r="A250">
        <v>8008</v>
      </c>
      <c r="B250" s="207">
        <v>46121</v>
      </c>
      <c r="C250" t="s">
        <v>438</v>
      </c>
      <c r="D250" t="s">
        <v>931</v>
      </c>
      <c r="E250" t="s">
        <v>932</v>
      </c>
      <c r="F250" s="207">
        <v>47269</v>
      </c>
      <c r="G250">
        <v>2.5</v>
      </c>
      <c r="H250">
        <v>7311</v>
      </c>
      <c r="I250">
        <v>7129558</v>
      </c>
      <c r="J250">
        <v>3.5539999999999998</v>
      </c>
      <c r="K250">
        <v>10138</v>
      </c>
      <c r="L250">
        <v>7411891</v>
      </c>
      <c r="M250">
        <v>-61329</v>
      </c>
      <c r="N250">
        <v>343662</v>
      </c>
      <c r="O250">
        <v>51094</v>
      </c>
      <c r="P250">
        <v>272521</v>
      </c>
      <c r="Q250">
        <v>20047</v>
      </c>
      <c r="S250">
        <v>0</v>
      </c>
      <c r="T250">
        <v>45290</v>
      </c>
      <c r="U250">
        <v>4510</v>
      </c>
      <c r="V250">
        <v>3.1415666666000002</v>
      </c>
      <c r="W250">
        <v>3.0341999999999998</v>
      </c>
      <c r="X250">
        <v>12.098100000000001</v>
      </c>
      <c r="Z250">
        <v>10137.969999999999</v>
      </c>
      <c r="AB250">
        <v>10139.58</v>
      </c>
      <c r="AD250">
        <v>10136.73</v>
      </c>
      <c r="AF250" t="s">
        <v>182</v>
      </c>
      <c r="AG250" t="s">
        <v>185</v>
      </c>
      <c r="AI250" t="s">
        <v>186</v>
      </c>
      <c r="AJ250" t="s">
        <v>933</v>
      </c>
      <c r="AK250" t="s">
        <v>188</v>
      </c>
    </row>
    <row r="251" spans="1:37" x14ac:dyDescent="0.3">
      <c r="A251">
        <v>8008</v>
      </c>
      <c r="B251" s="207">
        <v>46121</v>
      </c>
      <c r="C251" t="s">
        <v>438</v>
      </c>
      <c r="D251" t="s">
        <v>934</v>
      </c>
      <c r="E251" t="s">
        <v>935</v>
      </c>
      <c r="F251" s="207">
        <v>47299</v>
      </c>
      <c r="G251">
        <v>2.5</v>
      </c>
      <c r="H251">
        <v>14353</v>
      </c>
      <c r="I251">
        <v>13983999</v>
      </c>
      <c r="J251">
        <v>3.5569999999999999</v>
      </c>
      <c r="K251">
        <v>10107</v>
      </c>
      <c r="L251">
        <v>14506574</v>
      </c>
      <c r="M251">
        <v>-121637</v>
      </c>
      <c r="N251">
        <v>644212</v>
      </c>
      <c r="O251">
        <v>100107</v>
      </c>
      <c r="P251">
        <v>488410</v>
      </c>
      <c r="Q251">
        <v>55695</v>
      </c>
      <c r="S251">
        <v>0</v>
      </c>
      <c r="T251">
        <v>82370</v>
      </c>
      <c r="U251">
        <v>8220</v>
      </c>
      <c r="V251">
        <v>3.2237666666</v>
      </c>
      <c r="W251">
        <v>3.1140666665999999</v>
      </c>
      <c r="X251">
        <v>12.649900000000001</v>
      </c>
      <c r="Z251">
        <v>10107.32</v>
      </c>
      <c r="AB251">
        <v>10109.91</v>
      </c>
      <c r="AD251">
        <v>10106.370000000001</v>
      </c>
      <c r="AF251" t="s">
        <v>182</v>
      </c>
      <c r="AG251" t="s">
        <v>185</v>
      </c>
      <c r="AI251" t="s">
        <v>186</v>
      </c>
      <c r="AJ251" t="s">
        <v>936</v>
      </c>
      <c r="AK251" t="s">
        <v>188</v>
      </c>
    </row>
    <row r="252" spans="1:37" x14ac:dyDescent="0.3">
      <c r="A252">
        <v>8008</v>
      </c>
      <c r="B252" s="207">
        <v>46121</v>
      </c>
      <c r="C252" t="s">
        <v>438</v>
      </c>
      <c r="D252" t="s">
        <v>937</v>
      </c>
      <c r="E252" t="s">
        <v>938</v>
      </c>
      <c r="F252" s="207">
        <v>47330</v>
      </c>
      <c r="G252">
        <v>2.5</v>
      </c>
      <c r="H252">
        <v>56064</v>
      </c>
      <c r="I252">
        <v>54576369</v>
      </c>
      <c r="J252">
        <v>3.5590000000000002</v>
      </c>
      <c r="K252">
        <v>10077</v>
      </c>
      <c r="L252">
        <v>56495692</v>
      </c>
      <c r="M252">
        <v>-474305</v>
      </c>
      <c r="N252">
        <v>2393628</v>
      </c>
      <c r="O252">
        <v>390209</v>
      </c>
      <c r="P252">
        <v>1882999</v>
      </c>
      <c r="Q252">
        <v>120420</v>
      </c>
      <c r="S252">
        <v>0</v>
      </c>
      <c r="T252">
        <v>318230</v>
      </c>
      <c r="U252">
        <v>31810</v>
      </c>
      <c r="V252">
        <v>3.3086666666000002</v>
      </c>
      <c r="W252">
        <v>3.1964999999999999</v>
      </c>
      <c r="X252">
        <v>13.2372</v>
      </c>
      <c r="Z252">
        <v>10076.129999999999</v>
      </c>
      <c r="AB252">
        <v>10079.75</v>
      </c>
      <c r="AD252">
        <v>10075.48</v>
      </c>
      <c r="AF252" t="s">
        <v>182</v>
      </c>
      <c r="AG252" t="s">
        <v>185</v>
      </c>
      <c r="AI252" t="s">
        <v>186</v>
      </c>
      <c r="AJ252" t="s">
        <v>939</v>
      </c>
      <c r="AK252" t="s">
        <v>188</v>
      </c>
    </row>
    <row r="253" spans="1:37" x14ac:dyDescent="0.3">
      <c r="A253">
        <v>8008</v>
      </c>
      <c r="B253" s="207">
        <v>46121</v>
      </c>
      <c r="C253" t="s">
        <v>438</v>
      </c>
      <c r="D253" t="s">
        <v>940</v>
      </c>
      <c r="E253" t="s">
        <v>941</v>
      </c>
      <c r="F253" s="207">
        <v>47361</v>
      </c>
      <c r="G253">
        <v>2.5</v>
      </c>
      <c r="H253">
        <v>4291</v>
      </c>
      <c r="I253">
        <v>4173149</v>
      </c>
      <c r="J253">
        <v>3.5609999999999999</v>
      </c>
      <c r="K253">
        <v>10046</v>
      </c>
      <c r="L253">
        <v>4310738</v>
      </c>
      <c r="M253">
        <v>-36240</v>
      </c>
      <c r="N253">
        <v>173829</v>
      </c>
      <c r="O253">
        <v>29803</v>
      </c>
      <c r="P253">
        <v>56938</v>
      </c>
      <c r="Q253">
        <v>87088</v>
      </c>
      <c r="S253">
        <v>0</v>
      </c>
      <c r="T253">
        <v>12140</v>
      </c>
      <c r="U253">
        <v>1210</v>
      </c>
      <c r="V253">
        <v>3.3936000000000002</v>
      </c>
      <c r="W253">
        <v>3.2787333332999999</v>
      </c>
      <c r="X253">
        <v>13.8414</v>
      </c>
      <c r="Z253">
        <v>10045.07</v>
      </c>
      <c r="AB253">
        <v>10049.43</v>
      </c>
      <c r="AD253">
        <v>10044.74</v>
      </c>
      <c r="AF253" t="s">
        <v>182</v>
      </c>
      <c r="AG253" t="s">
        <v>185</v>
      </c>
      <c r="AI253" t="s">
        <v>186</v>
      </c>
      <c r="AJ253" t="s">
        <v>942</v>
      </c>
      <c r="AK253" t="s">
        <v>188</v>
      </c>
    </row>
    <row r="254" spans="1:37" x14ac:dyDescent="0.3">
      <c r="A254">
        <v>8008</v>
      </c>
      <c r="B254" s="207">
        <v>46121</v>
      </c>
      <c r="C254" t="s">
        <v>438</v>
      </c>
      <c r="D254" t="s">
        <v>943</v>
      </c>
      <c r="E254" t="s">
        <v>944</v>
      </c>
      <c r="F254" s="207">
        <v>47391</v>
      </c>
      <c r="G254">
        <v>2.5</v>
      </c>
      <c r="H254">
        <v>37820</v>
      </c>
      <c r="I254">
        <v>36750861</v>
      </c>
      <c r="J254">
        <v>3.5619999999999998</v>
      </c>
      <c r="K254">
        <v>10016</v>
      </c>
      <c r="L254">
        <v>37880512</v>
      </c>
      <c r="M254">
        <v>-322658</v>
      </c>
      <c r="N254">
        <v>1452309</v>
      </c>
      <c r="O254">
        <v>262146</v>
      </c>
      <c r="P254">
        <v>729397</v>
      </c>
      <c r="Q254">
        <v>460766</v>
      </c>
      <c r="S254">
        <v>0</v>
      </c>
      <c r="T254">
        <v>138810</v>
      </c>
      <c r="U254">
        <v>13880</v>
      </c>
      <c r="V254">
        <v>3.4758</v>
      </c>
      <c r="W254">
        <v>3.3581333333000001</v>
      </c>
      <c r="X254">
        <v>14.4421666666</v>
      </c>
      <c r="Z254">
        <v>10015.120000000001</v>
      </c>
      <c r="AB254">
        <v>10020.58</v>
      </c>
      <c r="AD254">
        <v>10015.120000000001</v>
      </c>
      <c r="AF254" t="s">
        <v>182</v>
      </c>
      <c r="AG254" t="s">
        <v>185</v>
      </c>
      <c r="AI254" t="s">
        <v>186</v>
      </c>
      <c r="AJ254" t="s">
        <v>945</v>
      </c>
      <c r="AK254" t="s">
        <v>188</v>
      </c>
    </row>
    <row r="255" spans="1:37" x14ac:dyDescent="0.3">
      <c r="A255">
        <v>8008</v>
      </c>
      <c r="B255" s="207">
        <v>46121</v>
      </c>
      <c r="C255" t="s">
        <v>438</v>
      </c>
      <c r="D255" t="s">
        <v>946</v>
      </c>
      <c r="E255" t="s">
        <v>947</v>
      </c>
      <c r="F255" s="207">
        <v>47422</v>
      </c>
      <c r="G255">
        <v>2.5</v>
      </c>
      <c r="H255">
        <v>20016</v>
      </c>
      <c r="I255">
        <v>19022255</v>
      </c>
      <c r="J255">
        <v>3.5649999999999999</v>
      </c>
      <c r="K255">
        <v>9986</v>
      </c>
      <c r="L255">
        <v>19987977</v>
      </c>
      <c r="M255">
        <v>240641</v>
      </c>
      <c r="N255">
        <v>725081</v>
      </c>
      <c r="O255">
        <v>25333</v>
      </c>
      <c r="P255">
        <v>356</v>
      </c>
      <c r="Q255">
        <v>699392</v>
      </c>
      <c r="S255">
        <v>0</v>
      </c>
      <c r="T255">
        <v>3590</v>
      </c>
      <c r="U255">
        <v>350</v>
      </c>
      <c r="V255">
        <v>3.5607000000000002</v>
      </c>
      <c r="W255">
        <v>3.4400333333000002</v>
      </c>
      <c r="X255">
        <v>15.0791333333</v>
      </c>
      <c r="Z255">
        <v>9983.99</v>
      </c>
      <c r="AB255">
        <v>9990.6</v>
      </c>
      <c r="AD255">
        <v>9984.33</v>
      </c>
      <c r="AF255" t="s">
        <v>182</v>
      </c>
      <c r="AG255" t="s">
        <v>185</v>
      </c>
      <c r="AI255" t="s">
        <v>186</v>
      </c>
      <c r="AJ255" t="s">
        <v>948</v>
      </c>
      <c r="AK255" t="s">
        <v>188</v>
      </c>
    </row>
    <row r="256" spans="1:37" x14ac:dyDescent="0.3">
      <c r="A256">
        <v>8008</v>
      </c>
      <c r="B256" s="207">
        <v>46121</v>
      </c>
      <c r="C256" t="s">
        <v>438</v>
      </c>
      <c r="D256" t="s">
        <v>949</v>
      </c>
      <c r="E256" t="s">
        <v>950</v>
      </c>
      <c r="F256" s="207">
        <v>47483</v>
      </c>
      <c r="G256">
        <v>2.5</v>
      </c>
      <c r="H256">
        <v>15763</v>
      </c>
      <c r="I256">
        <v>15276407</v>
      </c>
      <c r="J256">
        <v>3.57</v>
      </c>
      <c r="K256">
        <v>9926</v>
      </c>
      <c r="L256">
        <v>15646353</v>
      </c>
      <c r="M256">
        <v>-133803</v>
      </c>
      <c r="N256">
        <v>503749</v>
      </c>
      <c r="O256">
        <v>108582</v>
      </c>
      <c r="P256">
        <v>311297</v>
      </c>
      <c r="Q256">
        <v>83870</v>
      </c>
      <c r="S256">
        <v>0</v>
      </c>
      <c r="T256">
        <v>58770</v>
      </c>
      <c r="U256">
        <v>5860</v>
      </c>
      <c r="V256">
        <v>3.7278666666000002</v>
      </c>
      <c r="W256">
        <v>3.6006666666</v>
      </c>
      <c r="X256">
        <v>16.380533333300001</v>
      </c>
      <c r="Z256">
        <v>9921.9599999999991</v>
      </c>
      <c r="AB256">
        <v>9932.41</v>
      </c>
      <c r="AD256">
        <v>9924.82</v>
      </c>
      <c r="AF256" t="s">
        <v>182</v>
      </c>
      <c r="AG256" t="s">
        <v>185</v>
      </c>
      <c r="AI256" t="s">
        <v>186</v>
      </c>
      <c r="AJ256" t="s">
        <v>951</v>
      </c>
      <c r="AK256" t="s">
        <v>188</v>
      </c>
    </row>
    <row r="257" spans="1:37" x14ac:dyDescent="0.3">
      <c r="A257">
        <v>8008</v>
      </c>
      <c r="B257" s="207">
        <v>46121</v>
      </c>
      <c r="C257" t="s">
        <v>438</v>
      </c>
      <c r="D257" t="s">
        <v>952</v>
      </c>
      <c r="E257" t="s">
        <v>953</v>
      </c>
      <c r="F257" s="207">
        <v>47634</v>
      </c>
      <c r="G257">
        <v>2.5</v>
      </c>
      <c r="H257">
        <v>1424</v>
      </c>
      <c r="I257">
        <v>1371524</v>
      </c>
      <c r="J257">
        <v>3.597</v>
      </c>
      <c r="K257">
        <v>9773</v>
      </c>
      <c r="L257">
        <v>1391675</v>
      </c>
      <c r="M257">
        <v>-10421</v>
      </c>
      <c r="N257">
        <v>30572</v>
      </c>
      <c r="O257">
        <v>9709</v>
      </c>
      <c r="P257">
        <v>15167</v>
      </c>
      <c r="Q257">
        <v>5696</v>
      </c>
      <c r="S257">
        <v>0</v>
      </c>
      <c r="T257">
        <v>3480</v>
      </c>
      <c r="U257">
        <v>340</v>
      </c>
      <c r="V257">
        <v>4.1415666666000002</v>
      </c>
      <c r="W257">
        <v>3.9982333333</v>
      </c>
      <c r="X257">
        <v>19.807133333300001</v>
      </c>
      <c r="Z257">
        <v>9764.9</v>
      </c>
      <c r="AB257">
        <v>9781.7800000000007</v>
      </c>
      <c r="AD257">
        <v>9773.89</v>
      </c>
      <c r="AF257" t="s">
        <v>182</v>
      </c>
      <c r="AG257" t="s">
        <v>185</v>
      </c>
      <c r="AI257" t="s">
        <v>186</v>
      </c>
      <c r="AJ257" t="s">
        <v>954</v>
      </c>
      <c r="AK257" t="s">
        <v>188</v>
      </c>
    </row>
    <row r="258" spans="1:37" x14ac:dyDescent="0.3">
      <c r="A258">
        <v>8008</v>
      </c>
      <c r="B258" s="207">
        <v>46121</v>
      </c>
      <c r="C258" t="s">
        <v>438</v>
      </c>
      <c r="D258" t="s">
        <v>955</v>
      </c>
      <c r="E258" t="s">
        <v>956</v>
      </c>
      <c r="F258" s="207">
        <v>47664</v>
      </c>
      <c r="G258">
        <v>2.5</v>
      </c>
      <c r="H258">
        <v>720</v>
      </c>
      <c r="I258">
        <v>692645</v>
      </c>
      <c r="J258">
        <v>3.6059999999999999</v>
      </c>
      <c r="K258">
        <v>9741</v>
      </c>
      <c r="L258">
        <v>701352</v>
      </c>
      <c r="M258">
        <v>-5259</v>
      </c>
      <c r="N258">
        <v>13966</v>
      </c>
      <c r="O258">
        <v>4899</v>
      </c>
      <c r="P258">
        <v>6477</v>
      </c>
      <c r="Q258">
        <v>2590</v>
      </c>
      <c r="S258">
        <v>0</v>
      </c>
      <c r="T258">
        <v>1580</v>
      </c>
      <c r="U258">
        <v>150</v>
      </c>
      <c r="V258">
        <v>4.2237666666000004</v>
      </c>
      <c r="W258">
        <v>4.0778666666000003</v>
      </c>
      <c r="X258">
        <v>20.509933333300001</v>
      </c>
      <c r="Z258">
        <v>9732.91</v>
      </c>
      <c r="AB258">
        <v>9748.8799999999992</v>
      </c>
      <c r="AD258">
        <v>9742.0499999999993</v>
      </c>
      <c r="AF258" t="s">
        <v>182</v>
      </c>
      <c r="AG258" t="s">
        <v>185</v>
      </c>
      <c r="AI258" t="s">
        <v>186</v>
      </c>
      <c r="AJ258" t="s">
        <v>957</v>
      </c>
      <c r="AK258" t="s">
        <v>188</v>
      </c>
    </row>
    <row r="259" spans="1:37" x14ac:dyDescent="0.3">
      <c r="A259">
        <v>8008</v>
      </c>
      <c r="B259" s="207">
        <v>46121</v>
      </c>
      <c r="C259" t="s">
        <v>438</v>
      </c>
      <c r="D259" t="s">
        <v>958</v>
      </c>
      <c r="E259" t="s">
        <v>959</v>
      </c>
      <c r="F259" s="207">
        <v>47695</v>
      </c>
      <c r="G259">
        <v>2.5</v>
      </c>
      <c r="H259">
        <v>16343</v>
      </c>
      <c r="I259">
        <v>15702801</v>
      </c>
      <c r="J259">
        <v>3.6160000000000001</v>
      </c>
      <c r="K259">
        <v>9707</v>
      </c>
      <c r="L259">
        <v>15864149</v>
      </c>
      <c r="M259">
        <v>-120779</v>
      </c>
      <c r="N259">
        <v>282127</v>
      </c>
      <c r="O259">
        <v>110973</v>
      </c>
      <c r="P259">
        <v>133071</v>
      </c>
      <c r="Q259">
        <v>38083</v>
      </c>
      <c r="S259">
        <v>0</v>
      </c>
      <c r="T259">
        <v>34150</v>
      </c>
      <c r="U259">
        <v>3400</v>
      </c>
      <c r="V259">
        <v>4.3086666665999998</v>
      </c>
      <c r="W259">
        <v>4.1598666666000002</v>
      </c>
      <c r="X259">
        <v>21.252233333300001</v>
      </c>
      <c r="Z259">
        <v>9699.2199999999993</v>
      </c>
      <c r="AB259">
        <v>9715.0499999999993</v>
      </c>
      <c r="AD259">
        <v>9708.91</v>
      </c>
      <c r="AF259" t="s">
        <v>182</v>
      </c>
      <c r="AG259" t="s">
        <v>185</v>
      </c>
      <c r="AI259" t="s">
        <v>186</v>
      </c>
      <c r="AJ259" t="s">
        <v>960</v>
      </c>
      <c r="AK259" t="s">
        <v>188</v>
      </c>
    </row>
    <row r="260" spans="1:37" x14ac:dyDescent="0.3">
      <c r="A260">
        <v>8008</v>
      </c>
      <c r="B260" s="207">
        <v>46121</v>
      </c>
      <c r="C260" t="s">
        <v>438</v>
      </c>
      <c r="D260" t="s">
        <v>961</v>
      </c>
      <c r="E260" t="s">
        <v>962</v>
      </c>
      <c r="F260" s="207">
        <v>47787</v>
      </c>
      <c r="G260">
        <v>2</v>
      </c>
      <c r="H260">
        <v>34628</v>
      </c>
      <c r="I260">
        <v>32371315</v>
      </c>
      <c r="J260">
        <v>3.6419999999999999</v>
      </c>
      <c r="K260">
        <v>9377</v>
      </c>
      <c r="L260">
        <v>32470675</v>
      </c>
      <c r="M260">
        <v>-204434</v>
      </c>
      <c r="N260">
        <v>303794</v>
      </c>
      <c r="O260">
        <v>187120</v>
      </c>
      <c r="P260">
        <v>35341</v>
      </c>
      <c r="Q260">
        <v>81333</v>
      </c>
      <c r="S260">
        <v>0</v>
      </c>
      <c r="T260">
        <v>31130</v>
      </c>
      <c r="U260">
        <v>3100</v>
      </c>
      <c r="V260">
        <v>4.5606999999999998</v>
      </c>
      <c r="W260">
        <v>4.4024333333000003</v>
      </c>
      <c r="X260">
        <v>23.5527666666</v>
      </c>
      <c r="Z260">
        <v>9371.44</v>
      </c>
      <c r="AB260">
        <v>9381.6299999999992</v>
      </c>
      <c r="AD260">
        <v>9379.2900000000009</v>
      </c>
      <c r="AF260" t="s">
        <v>182</v>
      </c>
      <c r="AG260" t="s">
        <v>185</v>
      </c>
      <c r="AI260" t="s">
        <v>186</v>
      </c>
      <c r="AJ260" t="s">
        <v>963</v>
      </c>
      <c r="AK260" t="s">
        <v>188</v>
      </c>
    </row>
    <row r="261" spans="1:37" x14ac:dyDescent="0.3">
      <c r="A261">
        <v>8008</v>
      </c>
      <c r="B261" s="207">
        <v>46121</v>
      </c>
      <c r="C261" t="s">
        <v>438</v>
      </c>
      <c r="D261" t="s">
        <v>964</v>
      </c>
      <c r="E261" t="s">
        <v>965</v>
      </c>
      <c r="F261" s="207">
        <v>47817</v>
      </c>
      <c r="G261">
        <v>2</v>
      </c>
      <c r="H261">
        <v>6216</v>
      </c>
      <c r="I261">
        <v>5800146</v>
      </c>
      <c r="J261">
        <v>3.6509999999999998</v>
      </c>
      <c r="K261">
        <v>9345</v>
      </c>
      <c r="L261">
        <v>5808852</v>
      </c>
      <c r="M261">
        <v>-35629</v>
      </c>
      <c r="N261">
        <v>44335</v>
      </c>
      <c r="O261">
        <v>33417</v>
      </c>
      <c r="P261">
        <v>707</v>
      </c>
      <c r="Q261">
        <v>10211</v>
      </c>
      <c r="S261">
        <v>0</v>
      </c>
      <c r="T261">
        <v>4770</v>
      </c>
      <c r="U261">
        <v>470</v>
      </c>
      <c r="V261">
        <v>4.6429</v>
      </c>
      <c r="W261">
        <v>4.4810999999999996</v>
      </c>
      <c r="X261">
        <v>24.332899999999999</v>
      </c>
      <c r="Z261">
        <v>9339.73</v>
      </c>
      <c r="AB261">
        <v>9349.64</v>
      </c>
      <c r="AD261">
        <v>9348.5400000000009</v>
      </c>
      <c r="AF261" t="s">
        <v>182</v>
      </c>
      <c r="AG261" t="s">
        <v>185</v>
      </c>
      <c r="AI261" t="s">
        <v>186</v>
      </c>
      <c r="AJ261" t="s">
        <v>966</v>
      </c>
      <c r="AK261" t="s">
        <v>188</v>
      </c>
    </row>
    <row r="262" spans="1:37" x14ac:dyDescent="0.3">
      <c r="A262">
        <v>8008</v>
      </c>
      <c r="B262" s="207">
        <v>46121</v>
      </c>
      <c r="C262" t="s">
        <v>438</v>
      </c>
      <c r="D262" t="s">
        <v>967</v>
      </c>
      <c r="E262" t="s">
        <v>968</v>
      </c>
      <c r="F262" s="207">
        <v>47848</v>
      </c>
      <c r="G262">
        <v>2</v>
      </c>
      <c r="H262">
        <v>28792</v>
      </c>
      <c r="I262">
        <v>26606572</v>
      </c>
      <c r="J262">
        <v>3.661</v>
      </c>
      <c r="K262">
        <v>9313</v>
      </c>
      <c r="L262">
        <v>26813989</v>
      </c>
      <c r="M262">
        <v>50787</v>
      </c>
      <c r="N262">
        <v>156630</v>
      </c>
      <c r="O262">
        <v>112774</v>
      </c>
      <c r="P262">
        <v>0</v>
      </c>
      <c r="Q262">
        <v>43856</v>
      </c>
      <c r="S262">
        <v>0</v>
      </c>
      <c r="T262">
        <v>15780</v>
      </c>
      <c r="U262">
        <v>1560</v>
      </c>
      <c r="V262">
        <v>4.7278666665999998</v>
      </c>
      <c r="W262">
        <v>4.5622333333</v>
      </c>
      <c r="X262">
        <v>25.154666666600001</v>
      </c>
      <c r="Z262">
        <v>9307.58</v>
      </c>
      <c r="AB262">
        <v>9316.77</v>
      </c>
      <c r="AD262">
        <v>9316.51</v>
      </c>
      <c r="AF262" t="s">
        <v>182</v>
      </c>
      <c r="AG262" t="s">
        <v>185</v>
      </c>
      <c r="AI262" t="s">
        <v>186</v>
      </c>
      <c r="AJ262" t="s">
        <v>969</v>
      </c>
      <c r="AK262" t="s">
        <v>188</v>
      </c>
    </row>
    <row r="263" spans="1:37" x14ac:dyDescent="0.3">
      <c r="A263">
        <v>8008</v>
      </c>
      <c r="B263" s="207">
        <v>46121</v>
      </c>
      <c r="C263" t="s">
        <v>438</v>
      </c>
      <c r="D263" t="s">
        <v>970</v>
      </c>
      <c r="E263" t="s">
        <v>971</v>
      </c>
      <c r="F263" s="207">
        <v>47879</v>
      </c>
      <c r="G263">
        <v>2</v>
      </c>
      <c r="H263">
        <v>2500</v>
      </c>
      <c r="I263">
        <v>2314900</v>
      </c>
      <c r="J263">
        <v>3.6709999999999998</v>
      </c>
      <c r="K263">
        <v>9281</v>
      </c>
      <c r="L263">
        <v>2320250</v>
      </c>
      <c r="M263">
        <v>-4026</v>
      </c>
      <c r="N263">
        <v>9376</v>
      </c>
      <c r="O263">
        <v>5776</v>
      </c>
      <c r="P263">
        <v>0</v>
      </c>
      <c r="Q263">
        <v>3600</v>
      </c>
      <c r="S263">
        <v>0</v>
      </c>
      <c r="T263">
        <v>800</v>
      </c>
      <c r="U263">
        <v>80</v>
      </c>
      <c r="V263">
        <v>4.8128000000000002</v>
      </c>
      <c r="W263">
        <v>4.6432000000000002</v>
      </c>
      <c r="X263">
        <v>25.9916666666</v>
      </c>
      <c r="Z263">
        <v>9274.6299999999992</v>
      </c>
      <c r="AB263">
        <v>9283.5</v>
      </c>
      <c r="AD263">
        <v>9284.98</v>
      </c>
      <c r="AF263" t="s">
        <v>182</v>
      </c>
      <c r="AG263" t="s">
        <v>185</v>
      </c>
      <c r="AI263" t="s">
        <v>186</v>
      </c>
      <c r="AJ263" t="s">
        <v>972</v>
      </c>
      <c r="AK263" t="s">
        <v>188</v>
      </c>
    </row>
    <row r="264" spans="1:37" x14ac:dyDescent="0.3">
      <c r="A264">
        <v>8008</v>
      </c>
      <c r="B264" s="207">
        <v>46121</v>
      </c>
      <c r="C264" t="s">
        <v>438</v>
      </c>
      <c r="D264" t="s">
        <v>973</v>
      </c>
      <c r="E264" t="s">
        <v>974</v>
      </c>
      <c r="F264" s="207">
        <v>47907</v>
      </c>
      <c r="G264">
        <v>2</v>
      </c>
      <c r="H264">
        <v>7749</v>
      </c>
      <c r="I264">
        <v>7021525</v>
      </c>
      <c r="J264">
        <v>3.681</v>
      </c>
      <c r="K264">
        <v>9251</v>
      </c>
      <c r="L264">
        <v>7168599</v>
      </c>
      <c r="M264">
        <v>129818</v>
      </c>
      <c r="N264">
        <v>17256</v>
      </c>
      <c r="O264">
        <v>4338</v>
      </c>
      <c r="P264">
        <v>0</v>
      </c>
      <c r="Q264">
        <v>12918</v>
      </c>
      <c r="S264">
        <v>0</v>
      </c>
      <c r="T264">
        <v>600</v>
      </c>
      <c r="U264">
        <v>60</v>
      </c>
      <c r="V264">
        <v>4.8895</v>
      </c>
      <c r="W264">
        <v>4.7161333333000002</v>
      </c>
      <c r="X264">
        <v>26.7605333333</v>
      </c>
      <c r="Z264">
        <v>9244</v>
      </c>
      <c r="AB264">
        <v>9253.84</v>
      </c>
      <c r="AD264">
        <v>9256.2199999999993</v>
      </c>
      <c r="AF264" t="s">
        <v>182</v>
      </c>
      <c r="AG264" t="s">
        <v>185</v>
      </c>
      <c r="AI264" t="s">
        <v>186</v>
      </c>
      <c r="AJ264" t="s">
        <v>975</v>
      </c>
      <c r="AK264" t="s">
        <v>188</v>
      </c>
    </row>
    <row r="265" spans="1:37" x14ac:dyDescent="0.3">
      <c r="A265">
        <v>8008</v>
      </c>
      <c r="B265" s="207">
        <v>46121</v>
      </c>
      <c r="C265" t="s">
        <v>438</v>
      </c>
      <c r="D265" t="s">
        <v>3371</v>
      </c>
      <c r="E265" t="s">
        <v>3372</v>
      </c>
      <c r="F265" s="207">
        <v>47938</v>
      </c>
      <c r="G265">
        <v>2</v>
      </c>
      <c r="H265">
        <v>32775</v>
      </c>
      <c r="I265">
        <v>30058530</v>
      </c>
      <c r="J265">
        <v>3.6920000000000002</v>
      </c>
      <c r="K265">
        <v>9218</v>
      </c>
      <c r="L265">
        <v>30211995</v>
      </c>
      <c r="M265">
        <v>135679</v>
      </c>
      <c r="N265">
        <v>17786</v>
      </c>
      <c r="O265">
        <v>2312</v>
      </c>
      <c r="P265">
        <v>0</v>
      </c>
      <c r="Q265">
        <v>15474</v>
      </c>
      <c r="S265">
        <v>0</v>
      </c>
      <c r="T265">
        <v>320</v>
      </c>
      <c r="U265">
        <v>30</v>
      </c>
      <c r="V265">
        <v>4.9744000000000002</v>
      </c>
      <c r="W265">
        <v>4.7967333332999997</v>
      </c>
      <c r="X265">
        <v>27.626300000000001</v>
      </c>
      <c r="Z265">
        <v>9210.68</v>
      </c>
      <c r="AB265">
        <v>9220.19</v>
      </c>
      <c r="AD265">
        <v>9224.82</v>
      </c>
      <c r="AF265" t="s">
        <v>182</v>
      </c>
      <c r="AG265" t="s">
        <v>185</v>
      </c>
      <c r="AI265" t="s">
        <v>186</v>
      </c>
      <c r="AJ265" t="s">
        <v>3373</v>
      </c>
      <c r="AK265" t="s">
        <v>188</v>
      </c>
    </row>
    <row r="266" spans="1:37" x14ac:dyDescent="0.3">
      <c r="A266">
        <v>8008</v>
      </c>
      <c r="B266" s="207">
        <v>46121</v>
      </c>
      <c r="C266" t="s">
        <v>438</v>
      </c>
      <c r="D266" t="s">
        <v>976</v>
      </c>
      <c r="E266" t="s">
        <v>977</v>
      </c>
      <c r="F266" s="207">
        <v>47968</v>
      </c>
      <c r="G266">
        <v>2</v>
      </c>
      <c r="H266">
        <v>172583</v>
      </c>
      <c r="I266">
        <v>156893688</v>
      </c>
      <c r="J266">
        <v>3.7010000000000001</v>
      </c>
      <c r="K266">
        <v>9187</v>
      </c>
      <c r="L266">
        <v>158552001</v>
      </c>
      <c r="M266">
        <v>1658313</v>
      </c>
      <c r="N266">
        <v>0</v>
      </c>
      <c r="O266">
        <v>0</v>
      </c>
      <c r="P266">
        <v>0</v>
      </c>
      <c r="Q266">
        <v>0</v>
      </c>
      <c r="S266">
        <v>0</v>
      </c>
      <c r="T266">
        <v>0</v>
      </c>
      <c r="U266">
        <v>0</v>
      </c>
      <c r="V266">
        <v>5.0566000000000004</v>
      </c>
      <c r="W266">
        <v>4.8758666666000003</v>
      </c>
      <c r="X266">
        <v>28.459566666600001</v>
      </c>
      <c r="Z266">
        <v>9177.61</v>
      </c>
      <c r="AB266">
        <v>9189.0300000000007</v>
      </c>
      <c r="AD266">
        <v>9195.08</v>
      </c>
      <c r="AF266" t="s">
        <v>182</v>
      </c>
      <c r="AG266" t="s">
        <v>185</v>
      </c>
      <c r="AI266" t="s">
        <v>186</v>
      </c>
      <c r="AJ266" t="s">
        <v>978</v>
      </c>
      <c r="AK266" t="s">
        <v>188</v>
      </c>
    </row>
    <row r="267" spans="1:37" x14ac:dyDescent="0.3">
      <c r="A267">
        <v>8008</v>
      </c>
      <c r="B267" s="207">
        <v>46121</v>
      </c>
      <c r="C267" t="s">
        <v>438</v>
      </c>
      <c r="D267" t="s">
        <v>979</v>
      </c>
      <c r="E267" t="s">
        <v>980</v>
      </c>
      <c r="F267" s="207">
        <v>46203</v>
      </c>
      <c r="G267">
        <v>1.05</v>
      </c>
      <c r="H267">
        <v>9480</v>
      </c>
      <c r="I267">
        <v>9406049</v>
      </c>
      <c r="J267">
        <v>2.69</v>
      </c>
      <c r="K267">
        <v>10473</v>
      </c>
      <c r="L267">
        <v>9928404</v>
      </c>
      <c r="M267">
        <v>37219</v>
      </c>
      <c r="N267">
        <v>485136</v>
      </c>
      <c r="O267">
        <v>28193</v>
      </c>
      <c r="P267">
        <v>1706</v>
      </c>
      <c r="Q267">
        <v>455237</v>
      </c>
      <c r="S267">
        <v>0</v>
      </c>
      <c r="T267">
        <v>4180</v>
      </c>
      <c r="U267">
        <v>410</v>
      </c>
      <c r="V267">
        <v>0.22283333329999999</v>
      </c>
      <c r="W267">
        <v>0.2185</v>
      </c>
      <c r="X267">
        <v>0.2051</v>
      </c>
      <c r="Z267">
        <v>10473.31</v>
      </c>
      <c r="AB267">
        <v>10474.17</v>
      </c>
      <c r="AD267">
        <v>10473.06</v>
      </c>
      <c r="AF267" t="s">
        <v>182</v>
      </c>
      <c r="AG267" t="s">
        <v>185</v>
      </c>
      <c r="AI267" t="s">
        <v>186</v>
      </c>
      <c r="AJ267" t="s">
        <v>981</v>
      </c>
      <c r="AK267" t="s">
        <v>188</v>
      </c>
    </row>
    <row r="268" spans="1:37" x14ac:dyDescent="0.3">
      <c r="A268">
        <v>8008</v>
      </c>
      <c r="B268" s="207">
        <v>46121</v>
      </c>
      <c r="C268" t="s">
        <v>438</v>
      </c>
      <c r="D268" t="s">
        <v>982</v>
      </c>
      <c r="E268" t="s">
        <v>983</v>
      </c>
      <c r="F268" s="207">
        <v>46234</v>
      </c>
      <c r="G268">
        <v>1.05</v>
      </c>
      <c r="H268">
        <v>18735</v>
      </c>
      <c r="I268">
        <v>18561302</v>
      </c>
      <c r="J268">
        <v>2.7320000000000002</v>
      </c>
      <c r="K268">
        <v>10448</v>
      </c>
      <c r="L268">
        <v>19574328</v>
      </c>
      <c r="M268">
        <v>71732</v>
      </c>
      <c r="N268">
        <v>941294</v>
      </c>
      <c r="O268">
        <v>55666</v>
      </c>
      <c r="P268">
        <v>869006</v>
      </c>
      <c r="Q268">
        <v>16622</v>
      </c>
      <c r="S268">
        <v>0</v>
      </c>
      <c r="T268">
        <v>129450</v>
      </c>
      <c r="U268">
        <v>12940</v>
      </c>
      <c r="V268">
        <v>0.30773333330000002</v>
      </c>
      <c r="W268">
        <v>0.30143333329999999</v>
      </c>
      <c r="X268">
        <v>0.31636666660000001</v>
      </c>
      <c r="Z268">
        <v>10447.86</v>
      </c>
      <c r="AB268">
        <v>10449.280000000001</v>
      </c>
      <c r="AD268">
        <v>10448.15</v>
      </c>
      <c r="AF268" t="s">
        <v>182</v>
      </c>
      <c r="AG268" t="s">
        <v>185</v>
      </c>
      <c r="AI268" t="s">
        <v>186</v>
      </c>
      <c r="AJ268" t="s">
        <v>984</v>
      </c>
      <c r="AK268" t="s">
        <v>188</v>
      </c>
    </row>
    <row r="269" spans="1:37" x14ac:dyDescent="0.3">
      <c r="A269">
        <v>8008</v>
      </c>
      <c r="B269" s="207">
        <v>46121</v>
      </c>
      <c r="C269" t="s">
        <v>438</v>
      </c>
      <c r="D269" t="s">
        <v>985</v>
      </c>
      <c r="E269" t="s">
        <v>986</v>
      </c>
      <c r="F269" s="207">
        <v>46265</v>
      </c>
      <c r="G269">
        <v>1.05</v>
      </c>
      <c r="H269">
        <v>92584</v>
      </c>
      <c r="I269">
        <v>91598656</v>
      </c>
      <c r="J269">
        <v>2.7730000000000001</v>
      </c>
      <c r="K269">
        <v>10422</v>
      </c>
      <c r="L269">
        <v>96491044</v>
      </c>
      <c r="M269">
        <v>326952</v>
      </c>
      <c r="N269">
        <v>4565436</v>
      </c>
      <c r="O269">
        <v>274844</v>
      </c>
      <c r="P269">
        <v>4211074</v>
      </c>
      <c r="Q269">
        <v>79518</v>
      </c>
      <c r="S269">
        <v>0</v>
      </c>
      <c r="T269">
        <v>628020</v>
      </c>
      <c r="U269">
        <v>62800</v>
      </c>
      <c r="V269">
        <v>0.39269999999999999</v>
      </c>
      <c r="W269">
        <v>0.38419999999999999</v>
      </c>
      <c r="X269">
        <v>0.44579999999999997</v>
      </c>
      <c r="Z269">
        <v>10421.75</v>
      </c>
      <c r="AB269">
        <v>10423.59</v>
      </c>
      <c r="AD269">
        <v>10423.040000000001</v>
      </c>
      <c r="AF269" t="s">
        <v>182</v>
      </c>
      <c r="AG269" t="s">
        <v>185</v>
      </c>
      <c r="AI269" t="s">
        <v>186</v>
      </c>
      <c r="AJ269" t="s">
        <v>987</v>
      </c>
      <c r="AK269" t="s">
        <v>188</v>
      </c>
    </row>
    <row r="270" spans="1:37" x14ac:dyDescent="0.3">
      <c r="A270">
        <v>8008</v>
      </c>
      <c r="B270" s="207">
        <v>46121</v>
      </c>
      <c r="C270" t="s">
        <v>438</v>
      </c>
      <c r="D270" t="s">
        <v>988</v>
      </c>
      <c r="E270" t="s">
        <v>989</v>
      </c>
      <c r="F270" s="207">
        <v>46295</v>
      </c>
      <c r="G270">
        <v>1.05</v>
      </c>
      <c r="H270">
        <v>5726</v>
      </c>
      <c r="I270">
        <v>5656460</v>
      </c>
      <c r="J270">
        <v>2.81</v>
      </c>
      <c r="K270">
        <v>10397</v>
      </c>
      <c r="L270">
        <v>5953321</v>
      </c>
      <c r="M270">
        <v>19661</v>
      </c>
      <c r="N270">
        <v>277200</v>
      </c>
      <c r="O270">
        <v>16985</v>
      </c>
      <c r="P270">
        <v>85941</v>
      </c>
      <c r="Q270">
        <v>174274</v>
      </c>
      <c r="S270">
        <v>0</v>
      </c>
      <c r="T270">
        <v>14400</v>
      </c>
      <c r="U270">
        <v>1430</v>
      </c>
      <c r="V270">
        <v>0.47489999999999999</v>
      </c>
      <c r="W270">
        <v>0.4641666666</v>
      </c>
      <c r="X270">
        <v>0.58816666660000005</v>
      </c>
      <c r="Z270">
        <v>10396.25</v>
      </c>
      <c r="AB270">
        <v>10398.09</v>
      </c>
      <c r="AD270">
        <v>10398.34</v>
      </c>
      <c r="AF270" t="s">
        <v>182</v>
      </c>
      <c r="AG270" t="s">
        <v>185</v>
      </c>
      <c r="AI270" t="s">
        <v>186</v>
      </c>
      <c r="AJ270" t="s">
        <v>990</v>
      </c>
      <c r="AK270" t="s">
        <v>188</v>
      </c>
    </row>
    <row r="271" spans="1:37" x14ac:dyDescent="0.3">
      <c r="A271">
        <v>8008</v>
      </c>
      <c r="B271" s="207">
        <v>46121</v>
      </c>
      <c r="C271" t="s">
        <v>438</v>
      </c>
      <c r="D271" t="s">
        <v>991</v>
      </c>
      <c r="E271" t="s">
        <v>992</v>
      </c>
      <c r="F271" s="207">
        <v>46326</v>
      </c>
      <c r="G271">
        <v>1.05</v>
      </c>
      <c r="H271">
        <v>5142</v>
      </c>
      <c r="I271">
        <v>5072493</v>
      </c>
      <c r="J271">
        <v>2.835</v>
      </c>
      <c r="K271">
        <v>10371</v>
      </c>
      <c r="L271">
        <v>5332767</v>
      </c>
      <c r="M271">
        <v>16127</v>
      </c>
      <c r="N271">
        <v>244147</v>
      </c>
      <c r="O271">
        <v>15238</v>
      </c>
      <c r="P271">
        <v>224499</v>
      </c>
      <c r="Q271">
        <v>4410</v>
      </c>
      <c r="S271">
        <v>0</v>
      </c>
      <c r="T271">
        <v>33560</v>
      </c>
      <c r="U271">
        <v>3350</v>
      </c>
      <c r="V271">
        <v>0.55979999999999996</v>
      </c>
      <c r="W271">
        <v>0.54663333329999997</v>
      </c>
      <c r="X271">
        <v>0.75286666660000001</v>
      </c>
      <c r="Z271">
        <v>10370.69</v>
      </c>
      <c r="AB271">
        <v>10372.08</v>
      </c>
      <c r="AD271">
        <v>10372.34</v>
      </c>
      <c r="AF271" t="s">
        <v>182</v>
      </c>
      <c r="AG271" t="s">
        <v>185</v>
      </c>
      <c r="AI271" t="s">
        <v>186</v>
      </c>
      <c r="AJ271" t="s">
        <v>993</v>
      </c>
      <c r="AK271" t="s">
        <v>188</v>
      </c>
    </row>
    <row r="272" spans="1:37" x14ac:dyDescent="0.3">
      <c r="A272">
        <v>8008</v>
      </c>
      <c r="B272" s="207">
        <v>46121</v>
      </c>
      <c r="C272" t="s">
        <v>438</v>
      </c>
      <c r="D272" t="s">
        <v>994</v>
      </c>
      <c r="E272" t="s">
        <v>995</v>
      </c>
      <c r="F272" s="207">
        <v>46356</v>
      </c>
      <c r="G272">
        <v>1.05</v>
      </c>
      <c r="H272">
        <v>5323</v>
      </c>
      <c r="I272">
        <v>5243041</v>
      </c>
      <c r="J272">
        <v>2.8540000000000001</v>
      </c>
      <c r="K272">
        <v>10346</v>
      </c>
      <c r="L272">
        <v>5507175</v>
      </c>
      <c r="M272">
        <v>16177</v>
      </c>
      <c r="N272">
        <v>247957</v>
      </c>
      <c r="O272">
        <v>15761</v>
      </c>
      <c r="P272">
        <v>227625</v>
      </c>
      <c r="Q272">
        <v>4571</v>
      </c>
      <c r="S272">
        <v>0</v>
      </c>
      <c r="T272">
        <v>34070</v>
      </c>
      <c r="U272">
        <v>3400</v>
      </c>
      <c r="V272">
        <v>0.64200000000000002</v>
      </c>
      <c r="W272">
        <v>0.62626666659999997</v>
      </c>
      <c r="X272">
        <v>0.92920000000000003</v>
      </c>
      <c r="Z272">
        <v>10346.290000000001</v>
      </c>
      <c r="AB272">
        <v>10347.15</v>
      </c>
      <c r="AD272">
        <v>10346.75</v>
      </c>
      <c r="AF272" t="s">
        <v>182</v>
      </c>
      <c r="AG272" t="s">
        <v>185</v>
      </c>
      <c r="AI272" t="s">
        <v>186</v>
      </c>
      <c r="AJ272" t="s">
        <v>996</v>
      </c>
      <c r="AK272" t="s">
        <v>188</v>
      </c>
    </row>
    <row r="273" spans="1:37" x14ac:dyDescent="0.3">
      <c r="A273">
        <v>8008</v>
      </c>
      <c r="B273" s="207">
        <v>46121</v>
      </c>
      <c r="C273" t="s">
        <v>438</v>
      </c>
      <c r="D273" t="s">
        <v>997</v>
      </c>
      <c r="E273" t="s">
        <v>998</v>
      </c>
      <c r="F273" s="207">
        <v>46446</v>
      </c>
      <c r="G273">
        <v>1.05</v>
      </c>
      <c r="H273">
        <v>39700</v>
      </c>
      <c r="I273">
        <v>38916443</v>
      </c>
      <c r="J273">
        <v>2.9510000000000001</v>
      </c>
      <c r="K273">
        <v>10267</v>
      </c>
      <c r="L273">
        <v>40759990</v>
      </c>
      <c r="M273">
        <v>101106</v>
      </c>
      <c r="N273">
        <v>1742441</v>
      </c>
      <c r="O273">
        <v>117244</v>
      </c>
      <c r="P273">
        <v>697696</v>
      </c>
      <c r="Q273">
        <v>927501</v>
      </c>
      <c r="S273">
        <v>0</v>
      </c>
      <c r="T273">
        <v>114090</v>
      </c>
      <c r="U273">
        <v>11400</v>
      </c>
      <c r="V273">
        <v>0.88859999999999995</v>
      </c>
      <c r="W273">
        <v>0.86403333329999998</v>
      </c>
      <c r="X273">
        <v>1.5551999999999999</v>
      </c>
      <c r="Z273">
        <v>10266.959999999999</v>
      </c>
      <c r="AB273">
        <v>10267.450000000001</v>
      </c>
      <c r="AD273">
        <v>10266.780000000001</v>
      </c>
      <c r="AF273" t="s">
        <v>182</v>
      </c>
      <c r="AG273" t="s">
        <v>185</v>
      </c>
      <c r="AI273" t="s">
        <v>186</v>
      </c>
      <c r="AJ273" t="s">
        <v>999</v>
      </c>
      <c r="AK273" t="s">
        <v>188</v>
      </c>
    </row>
    <row r="274" spans="1:37" x14ac:dyDescent="0.3">
      <c r="A274">
        <v>8008</v>
      </c>
      <c r="B274" s="207">
        <v>46121</v>
      </c>
      <c r="C274" t="s">
        <v>438</v>
      </c>
      <c r="D274" t="s">
        <v>1000</v>
      </c>
      <c r="E274" t="s">
        <v>1001</v>
      </c>
      <c r="F274" s="207">
        <v>46477</v>
      </c>
      <c r="G274">
        <v>1.05</v>
      </c>
      <c r="H274">
        <v>9535</v>
      </c>
      <c r="I274">
        <v>9330818</v>
      </c>
      <c r="J274">
        <v>2.9889999999999999</v>
      </c>
      <c r="K274">
        <v>10238</v>
      </c>
      <c r="L274">
        <v>9761932</v>
      </c>
      <c r="M274">
        <v>21448</v>
      </c>
      <c r="N274">
        <v>409666</v>
      </c>
      <c r="O274">
        <v>28134</v>
      </c>
      <c r="P274">
        <v>190498</v>
      </c>
      <c r="Q274">
        <v>191034</v>
      </c>
      <c r="S274">
        <v>0</v>
      </c>
      <c r="T274">
        <v>30600</v>
      </c>
      <c r="U274">
        <v>3050</v>
      </c>
      <c r="V274">
        <v>0.97350000000000003</v>
      </c>
      <c r="W274">
        <v>0.94550000000000001</v>
      </c>
      <c r="X274">
        <v>1.8039000000000001</v>
      </c>
      <c r="Z274">
        <v>10239.23</v>
      </c>
      <c r="AB274">
        <v>10237.719999999999</v>
      </c>
      <c r="AD274">
        <v>10238.06</v>
      </c>
      <c r="AF274" t="s">
        <v>182</v>
      </c>
      <c r="AG274" t="s">
        <v>185</v>
      </c>
      <c r="AI274" t="s">
        <v>186</v>
      </c>
      <c r="AJ274" t="s">
        <v>1002</v>
      </c>
      <c r="AK274" t="s">
        <v>188</v>
      </c>
    </row>
    <row r="275" spans="1:37" x14ac:dyDescent="0.3">
      <c r="A275">
        <v>8008</v>
      </c>
      <c r="B275" s="207">
        <v>46121</v>
      </c>
      <c r="C275" t="s">
        <v>438</v>
      </c>
      <c r="D275" t="s">
        <v>1003</v>
      </c>
      <c r="E275" t="s">
        <v>1004</v>
      </c>
      <c r="F275" s="207">
        <v>46691</v>
      </c>
      <c r="G275">
        <v>1.05</v>
      </c>
      <c r="H275">
        <v>2</v>
      </c>
      <c r="I275">
        <v>1933</v>
      </c>
      <c r="J275">
        <v>3.1850000000000001</v>
      </c>
      <c r="K275">
        <v>10032</v>
      </c>
      <c r="L275">
        <v>2006</v>
      </c>
      <c r="M275">
        <v>0</v>
      </c>
      <c r="N275">
        <v>73</v>
      </c>
      <c r="O275">
        <v>37</v>
      </c>
      <c r="P275">
        <v>0</v>
      </c>
      <c r="Q275">
        <v>36</v>
      </c>
      <c r="S275">
        <v>0</v>
      </c>
      <c r="T275">
        <v>0</v>
      </c>
      <c r="U275">
        <v>0</v>
      </c>
      <c r="V275">
        <v>1.5598000000000001</v>
      </c>
      <c r="W275">
        <v>1.5141333333</v>
      </c>
      <c r="X275">
        <v>3.6831666666</v>
      </c>
      <c r="Z275">
        <v>10030.370000000001</v>
      </c>
      <c r="AB275">
        <v>10034.459999999999</v>
      </c>
      <c r="AD275">
        <v>10031.74</v>
      </c>
      <c r="AF275" t="s">
        <v>182</v>
      </c>
      <c r="AG275" t="s">
        <v>185</v>
      </c>
      <c r="AI275" t="s">
        <v>186</v>
      </c>
      <c r="AJ275" t="s">
        <v>1005</v>
      </c>
      <c r="AK275" t="s">
        <v>188</v>
      </c>
    </row>
    <row r="276" spans="1:37" x14ac:dyDescent="0.3">
      <c r="A276">
        <v>8008</v>
      </c>
      <c r="B276" s="207">
        <v>46121</v>
      </c>
      <c r="C276" t="s">
        <v>438</v>
      </c>
      <c r="D276" t="s">
        <v>1006</v>
      </c>
      <c r="E276" t="s">
        <v>1007</v>
      </c>
      <c r="F276" s="207">
        <v>46843</v>
      </c>
      <c r="G276">
        <v>2.5</v>
      </c>
      <c r="H276">
        <v>205</v>
      </c>
      <c r="I276">
        <v>202617</v>
      </c>
      <c r="J276">
        <v>3.29</v>
      </c>
      <c r="K276">
        <v>10613</v>
      </c>
      <c r="L276">
        <v>217566</v>
      </c>
      <c r="M276">
        <v>-962</v>
      </c>
      <c r="N276">
        <v>15911</v>
      </c>
      <c r="O276">
        <v>1474</v>
      </c>
      <c r="P276">
        <v>89</v>
      </c>
      <c r="Q276">
        <v>14348</v>
      </c>
      <c r="S276">
        <v>0</v>
      </c>
      <c r="T276">
        <v>210</v>
      </c>
      <c r="U276">
        <v>20</v>
      </c>
      <c r="V276">
        <v>1.9743999999999999</v>
      </c>
      <c r="W276">
        <v>1.9109</v>
      </c>
      <c r="X276">
        <v>5.4935999999999998</v>
      </c>
      <c r="Z276">
        <v>10611.35</v>
      </c>
      <c r="AB276">
        <v>10617.92</v>
      </c>
      <c r="AD276">
        <v>10612.57</v>
      </c>
      <c r="AF276" t="s">
        <v>182</v>
      </c>
      <c r="AG276" t="s">
        <v>185</v>
      </c>
      <c r="AI276" t="s">
        <v>186</v>
      </c>
      <c r="AJ276" t="s">
        <v>1008</v>
      </c>
      <c r="AK276" t="s">
        <v>188</v>
      </c>
    </row>
    <row r="277" spans="1:37" x14ac:dyDescent="0.3">
      <c r="A277">
        <v>8008</v>
      </c>
      <c r="B277" s="207">
        <v>46121</v>
      </c>
      <c r="C277" t="s">
        <v>438</v>
      </c>
      <c r="D277" t="s">
        <v>1009</v>
      </c>
      <c r="E277" t="s">
        <v>1010</v>
      </c>
      <c r="F277" s="207">
        <v>46996</v>
      </c>
      <c r="G277">
        <v>2.5</v>
      </c>
      <c r="H277">
        <v>10596</v>
      </c>
      <c r="I277">
        <v>10421127</v>
      </c>
      <c r="J277">
        <v>3.355</v>
      </c>
      <c r="K277">
        <v>10454</v>
      </c>
      <c r="L277">
        <v>11077058</v>
      </c>
      <c r="M277">
        <v>-48944</v>
      </c>
      <c r="N277">
        <v>704875</v>
      </c>
      <c r="O277">
        <v>75434</v>
      </c>
      <c r="P277">
        <v>515924</v>
      </c>
      <c r="Q277">
        <v>113517</v>
      </c>
      <c r="S277">
        <v>0</v>
      </c>
      <c r="T277">
        <v>82780</v>
      </c>
      <c r="U277">
        <v>8260</v>
      </c>
      <c r="V277">
        <v>2.3936000000000002</v>
      </c>
      <c r="W277">
        <v>2.3175666665999999</v>
      </c>
      <c r="X277">
        <v>7.5385333333000002</v>
      </c>
      <c r="Z277">
        <v>10452.52</v>
      </c>
      <c r="AB277">
        <v>10457.700000000001</v>
      </c>
      <c r="AD277">
        <v>10451.799999999999</v>
      </c>
      <c r="AF277" t="s">
        <v>182</v>
      </c>
      <c r="AG277" t="s">
        <v>185</v>
      </c>
      <c r="AI277" t="s">
        <v>186</v>
      </c>
      <c r="AJ277" t="s">
        <v>1011</v>
      </c>
      <c r="AK277" t="s">
        <v>188</v>
      </c>
    </row>
    <row r="278" spans="1:37" x14ac:dyDescent="0.3">
      <c r="A278">
        <v>8008</v>
      </c>
      <c r="B278" s="207">
        <v>46121</v>
      </c>
      <c r="C278" t="s">
        <v>438</v>
      </c>
      <c r="D278" t="s">
        <v>1012</v>
      </c>
      <c r="E278" t="s">
        <v>1013</v>
      </c>
      <c r="F278" s="207">
        <v>47483</v>
      </c>
      <c r="G278">
        <v>2.5</v>
      </c>
      <c r="H278">
        <v>97695</v>
      </c>
      <c r="I278">
        <v>94679220</v>
      </c>
      <c r="J278">
        <v>3.57</v>
      </c>
      <c r="K278">
        <v>9926</v>
      </c>
      <c r="L278">
        <v>96972057</v>
      </c>
      <c r="M278">
        <v>-829273</v>
      </c>
      <c r="N278">
        <v>3122110</v>
      </c>
      <c r="O278">
        <v>672961</v>
      </c>
      <c r="P278">
        <v>1723105</v>
      </c>
      <c r="Q278">
        <v>726044</v>
      </c>
      <c r="S278">
        <v>0</v>
      </c>
      <c r="T278">
        <v>335430</v>
      </c>
      <c r="U278">
        <v>33540</v>
      </c>
      <c r="V278">
        <v>3.7278666666000002</v>
      </c>
      <c r="W278">
        <v>3.6006666666</v>
      </c>
      <c r="X278">
        <v>16.380533333300001</v>
      </c>
      <c r="Z278">
        <v>9921.9599999999991</v>
      </c>
      <c r="AB278">
        <v>9932.41</v>
      </c>
      <c r="AD278">
        <v>9924.82</v>
      </c>
      <c r="AF278" t="s">
        <v>182</v>
      </c>
      <c r="AG278" t="s">
        <v>185</v>
      </c>
      <c r="AI278" t="s">
        <v>186</v>
      </c>
      <c r="AJ278" t="s">
        <v>1014</v>
      </c>
      <c r="AK278" t="s">
        <v>188</v>
      </c>
    </row>
    <row r="279" spans="1:37" x14ac:dyDescent="0.3">
      <c r="A279">
        <v>8008</v>
      </c>
      <c r="B279" s="207">
        <v>46121</v>
      </c>
      <c r="C279" t="s">
        <v>438</v>
      </c>
      <c r="D279" t="s">
        <v>1015</v>
      </c>
      <c r="E279" t="s">
        <v>1016</v>
      </c>
      <c r="F279" s="207">
        <v>47514</v>
      </c>
      <c r="G279">
        <v>2.5</v>
      </c>
      <c r="H279">
        <v>2607</v>
      </c>
      <c r="I279">
        <v>2523520</v>
      </c>
      <c r="J279">
        <v>3.5739999999999998</v>
      </c>
      <c r="K279">
        <v>9895</v>
      </c>
      <c r="L279">
        <v>2579626</v>
      </c>
      <c r="M279">
        <v>-21571</v>
      </c>
      <c r="N279">
        <v>77677</v>
      </c>
      <c r="O279">
        <v>17921</v>
      </c>
      <c r="P279">
        <v>50559</v>
      </c>
      <c r="Q279">
        <v>9197</v>
      </c>
      <c r="S279">
        <v>0</v>
      </c>
      <c r="T279">
        <v>9580</v>
      </c>
      <c r="U279">
        <v>950</v>
      </c>
      <c r="V279">
        <v>3.8128000000000002</v>
      </c>
      <c r="W279">
        <v>3.6819999999999999</v>
      </c>
      <c r="X279">
        <v>17.0657</v>
      </c>
      <c r="Z279">
        <v>9889.7000000000007</v>
      </c>
      <c r="AB279">
        <v>9902.9</v>
      </c>
      <c r="AD279">
        <v>9894.7999999999993</v>
      </c>
      <c r="AF279" t="s">
        <v>182</v>
      </c>
      <c r="AG279" t="s">
        <v>185</v>
      </c>
      <c r="AI279" t="s">
        <v>186</v>
      </c>
      <c r="AJ279" t="s">
        <v>1017</v>
      </c>
      <c r="AK279" t="s">
        <v>188</v>
      </c>
    </row>
    <row r="280" spans="1:37" x14ac:dyDescent="0.3">
      <c r="A280">
        <v>8008</v>
      </c>
      <c r="B280" s="207">
        <v>46121</v>
      </c>
      <c r="C280" t="s">
        <v>438</v>
      </c>
      <c r="D280" t="s">
        <v>1018</v>
      </c>
      <c r="E280" t="s">
        <v>1019</v>
      </c>
      <c r="F280" s="207">
        <v>47542</v>
      </c>
      <c r="G280">
        <v>2.5</v>
      </c>
      <c r="H280">
        <v>83017</v>
      </c>
      <c r="I280">
        <v>80261995</v>
      </c>
      <c r="J280">
        <v>3.577</v>
      </c>
      <c r="K280">
        <v>9868</v>
      </c>
      <c r="L280">
        <v>81921175</v>
      </c>
      <c r="M280">
        <v>-652592</v>
      </c>
      <c r="N280">
        <v>2311772</v>
      </c>
      <c r="O280">
        <v>569575</v>
      </c>
      <c r="P280">
        <v>1404542</v>
      </c>
      <c r="Q280">
        <v>337655</v>
      </c>
      <c r="S280">
        <v>0</v>
      </c>
      <c r="T280">
        <v>276370</v>
      </c>
      <c r="U280">
        <v>27630</v>
      </c>
      <c r="V280">
        <v>3.8895</v>
      </c>
      <c r="W280">
        <v>3.7553666666000001</v>
      </c>
      <c r="X280">
        <v>17.698599999999999</v>
      </c>
      <c r="Z280">
        <v>9861.08</v>
      </c>
      <c r="AB280">
        <v>9876.7199999999993</v>
      </c>
      <c r="AD280">
        <v>9867.75</v>
      </c>
      <c r="AF280" t="s">
        <v>182</v>
      </c>
      <c r="AG280" t="s">
        <v>185</v>
      </c>
      <c r="AI280" t="s">
        <v>186</v>
      </c>
      <c r="AJ280" t="s">
        <v>1020</v>
      </c>
      <c r="AK280" t="s">
        <v>188</v>
      </c>
    </row>
    <row r="281" spans="1:37" x14ac:dyDescent="0.3">
      <c r="A281">
        <v>8008</v>
      </c>
      <c r="B281" s="207">
        <v>46121</v>
      </c>
      <c r="C281" t="s">
        <v>438</v>
      </c>
      <c r="D281" t="s">
        <v>1021</v>
      </c>
      <c r="E281" t="s">
        <v>1022</v>
      </c>
      <c r="F281" s="207">
        <v>46387</v>
      </c>
      <c r="G281">
        <v>1.05</v>
      </c>
      <c r="H281">
        <v>2580</v>
      </c>
      <c r="I281">
        <v>2537441</v>
      </c>
      <c r="J281">
        <v>2.879</v>
      </c>
      <c r="K281">
        <v>10320</v>
      </c>
      <c r="L281">
        <v>2662560</v>
      </c>
      <c r="M281">
        <v>7332</v>
      </c>
      <c r="N281">
        <v>117787</v>
      </c>
      <c r="O281">
        <v>7632</v>
      </c>
      <c r="P281">
        <v>462</v>
      </c>
      <c r="Q281">
        <v>109693</v>
      </c>
      <c r="S281">
        <v>0</v>
      </c>
      <c r="T281">
        <v>1130</v>
      </c>
      <c r="U281">
        <v>110</v>
      </c>
      <c r="V281">
        <v>0.72693333329999998</v>
      </c>
      <c r="W281">
        <v>0.70840000000000003</v>
      </c>
      <c r="X281">
        <v>1.1285666666</v>
      </c>
      <c r="Z281">
        <v>10319.76</v>
      </c>
      <c r="AB281">
        <v>10321.15</v>
      </c>
      <c r="AD281">
        <v>10319.91</v>
      </c>
      <c r="AF281" t="s">
        <v>182</v>
      </c>
      <c r="AG281" t="s">
        <v>185</v>
      </c>
      <c r="AI281" t="s">
        <v>186</v>
      </c>
      <c r="AJ281" t="s">
        <v>1023</v>
      </c>
      <c r="AK281" t="s">
        <v>188</v>
      </c>
    </row>
    <row r="282" spans="1:37" x14ac:dyDescent="0.3">
      <c r="A282">
        <v>8008</v>
      </c>
      <c r="B282" s="207">
        <v>46121</v>
      </c>
      <c r="C282" t="s">
        <v>438</v>
      </c>
      <c r="D282" t="s">
        <v>1024</v>
      </c>
      <c r="E282" t="s">
        <v>1025</v>
      </c>
      <c r="F282" s="207">
        <v>46507</v>
      </c>
      <c r="G282">
        <v>1.05</v>
      </c>
      <c r="H282">
        <v>20873</v>
      </c>
      <c r="I282">
        <v>20390387</v>
      </c>
      <c r="J282">
        <v>3.02</v>
      </c>
      <c r="K282">
        <v>10210</v>
      </c>
      <c r="L282">
        <v>21311333</v>
      </c>
      <c r="M282">
        <v>42830</v>
      </c>
      <c r="N282">
        <v>878116</v>
      </c>
      <c r="O282">
        <v>61535</v>
      </c>
      <c r="P282">
        <v>340216</v>
      </c>
      <c r="Q282">
        <v>476365</v>
      </c>
      <c r="S282">
        <v>0</v>
      </c>
      <c r="T282">
        <v>56230</v>
      </c>
      <c r="U282">
        <v>5610</v>
      </c>
      <c r="V282">
        <v>1.0557000000000001</v>
      </c>
      <c r="W282">
        <v>1.0252666666000001</v>
      </c>
      <c r="X282">
        <v>2.0296666665999998</v>
      </c>
      <c r="Z282">
        <v>10210.969999999999</v>
      </c>
      <c r="AB282">
        <v>10209.64</v>
      </c>
      <c r="AD282">
        <v>10210.030000000001</v>
      </c>
      <c r="AF282" t="s">
        <v>182</v>
      </c>
      <c r="AG282" t="s">
        <v>185</v>
      </c>
      <c r="AI282" t="s">
        <v>186</v>
      </c>
      <c r="AJ282" t="s">
        <v>1026</v>
      </c>
      <c r="AK282" t="s">
        <v>188</v>
      </c>
    </row>
    <row r="283" spans="1:37" x14ac:dyDescent="0.3">
      <c r="A283">
        <v>8008</v>
      </c>
      <c r="B283" s="207">
        <v>46121</v>
      </c>
      <c r="C283" t="s">
        <v>438</v>
      </c>
      <c r="D283" t="s">
        <v>1027</v>
      </c>
      <c r="E283" t="s">
        <v>1028</v>
      </c>
      <c r="F283" s="207">
        <v>46538</v>
      </c>
      <c r="G283">
        <v>1.05</v>
      </c>
      <c r="H283">
        <v>1</v>
      </c>
      <c r="I283">
        <v>975</v>
      </c>
      <c r="J283">
        <v>3.0489999999999999</v>
      </c>
      <c r="K283">
        <v>10180</v>
      </c>
      <c r="L283">
        <v>1018</v>
      </c>
      <c r="M283">
        <v>2</v>
      </c>
      <c r="N283">
        <v>41</v>
      </c>
      <c r="O283">
        <v>3</v>
      </c>
      <c r="P283">
        <v>1</v>
      </c>
      <c r="Q283">
        <v>37</v>
      </c>
      <c r="S283">
        <v>0</v>
      </c>
      <c r="T283">
        <v>0</v>
      </c>
      <c r="U283">
        <v>0</v>
      </c>
      <c r="V283">
        <v>1.1406333333000001</v>
      </c>
      <c r="W283">
        <v>1.1080666666000001</v>
      </c>
      <c r="X283">
        <v>2.2645333333000002</v>
      </c>
      <c r="Z283">
        <v>10181.450000000001</v>
      </c>
      <c r="AB283">
        <v>10180.68</v>
      </c>
      <c r="AD283">
        <v>10180.66</v>
      </c>
      <c r="AF283" t="s">
        <v>182</v>
      </c>
      <c r="AG283" t="s">
        <v>185</v>
      </c>
      <c r="AI283" t="s">
        <v>186</v>
      </c>
      <c r="AJ283" t="s">
        <v>1029</v>
      </c>
      <c r="AK283" t="s">
        <v>188</v>
      </c>
    </row>
    <row r="284" spans="1:37" x14ac:dyDescent="0.3">
      <c r="A284">
        <v>8008</v>
      </c>
      <c r="B284" s="207">
        <v>46121</v>
      </c>
      <c r="C284" t="s">
        <v>438</v>
      </c>
      <c r="D284" t="s">
        <v>1030</v>
      </c>
      <c r="E284" t="s">
        <v>1031</v>
      </c>
      <c r="F284" s="207">
        <v>46568</v>
      </c>
      <c r="G284">
        <v>1.05</v>
      </c>
      <c r="H284">
        <v>11578</v>
      </c>
      <c r="I284">
        <v>11268763</v>
      </c>
      <c r="J284">
        <v>3.0779999999999998</v>
      </c>
      <c r="K284">
        <v>10152</v>
      </c>
      <c r="L284">
        <v>11753985</v>
      </c>
      <c r="M284">
        <v>19185</v>
      </c>
      <c r="N284">
        <v>466037</v>
      </c>
      <c r="O284">
        <v>34074</v>
      </c>
      <c r="P284">
        <v>55813</v>
      </c>
      <c r="Q284">
        <v>376150</v>
      </c>
      <c r="S284">
        <v>0</v>
      </c>
      <c r="T284">
        <v>12570</v>
      </c>
      <c r="U284">
        <v>1230</v>
      </c>
      <c r="V284">
        <v>1.2228333333000001</v>
      </c>
      <c r="W284">
        <v>1.1880333332999999</v>
      </c>
      <c r="X284">
        <v>2.5088333333000001</v>
      </c>
      <c r="Z284">
        <v>10151.92</v>
      </c>
      <c r="AB284">
        <v>10152.41</v>
      </c>
      <c r="AD284">
        <v>10151.92</v>
      </c>
      <c r="AF284" t="s">
        <v>182</v>
      </c>
      <c r="AG284" t="s">
        <v>185</v>
      </c>
      <c r="AI284" t="s">
        <v>186</v>
      </c>
      <c r="AJ284" t="s">
        <v>1032</v>
      </c>
      <c r="AK284" t="s">
        <v>188</v>
      </c>
    </row>
    <row r="285" spans="1:37" x14ac:dyDescent="0.3">
      <c r="A285">
        <v>8008</v>
      </c>
      <c r="B285" s="207">
        <v>46121</v>
      </c>
      <c r="C285" t="s">
        <v>438</v>
      </c>
      <c r="D285" t="s">
        <v>1033</v>
      </c>
      <c r="E285" t="s">
        <v>1034</v>
      </c>
      <c r="F285" s="207">
        <v>46599</v>
      </c>
      <c r="G285">
        <v>1.05</v>
      </c>
      <c r="H285">
        <v>14135</v>
      </c>
      <c r="I285">
        <v>13732303</v>
      </c>
      <c r="J285">
        <v>3.1059999999999999</v>
      </c>
      <c r="K285">
        <v>10122</v>
      </c>
      <c r="L285">
        <v>14307446</v>
      </c>
      <c r="M285">
        <v>19220</v>
      </c>
      <c r="N285">
        <v>555923</v>
      </c>
      <c r="O285">
        <v>41561</v>
      </c>
      <c r="P285">
        <v>404479</v>
      </c>
      <c r="Q285">
        <v>109883</v>
      </c>
      <c r="S285">
        <v>0</v>
      </c>
      <c r="T285">
        <v>62440</v>
      </c>
      <c r="U285">
        <v>6240</v>
      </c>
      <c r="V285">
        <v>1.3077333333000001</v>
      </c>
      <c r="W285">
        <v>1.2705</v>
      </c>
      <c r="X285">
        <v>2.7788333333000002</v>
      </c>
      <c r="Z285">
        <v>10121.36</v>
      </c>
      <c r="AB285">
        <v>10122.91</v>
      </c>
      <c r="AD285">
        <v>10122</v>
      </c>
      <c r="AF285" t="s">
        <v>182</v>
      </c>
      <c r="AG285" t="s">
        <v>185</v>
      </c>
      <c r="AI285" t="s">
        <v>186</v>
      </c>
      <c r="AJ285" t="s">
        <v>1035</v>
      </c>
      <c r="AK285" t="s">
        <v>188</v>
      </c>
    </row>
    <row r="286" spans="1:37" x14ac:dyDescent="0.3">
      <c r="A286">
        <v>8008</v>
      </c>
      <c r="B286" s="207">
        <v>46121</v>
      </c>
      <c r="C286" t="s">
        <v>438</v>
      </c>
      <c r="D286" t="s">
        <v>1036</v>
      </c>
      <c r="E286" t="s">
        <v>1037</v>
      </c>
      <c r="F286" s="207">
        <v>46630</v>
      </c>
      <c r="G286">
        <v>1.05</v>
      </c>
      <c r="H286">
        <v>89800</v>
      </c>
      <c r="I286">
        <v>87090711</v>
      </c>
      <c r="J286">
        <v>3.1349999999999998</v>
      </c>
      <c r="K286">
        <v>10091</v>
      </c>
      <c r="L286">
        <v>90617180</v>
      </c>
      <c r="M286">
        <v>77430</v>
      </c>
      <c r="N286">
        <v>3449039</v>
      </c>
      <c r="O286">
        <v>263810</v>
      </c>
      <c r="P286">
        <v>1569110</v>
      </c>
      <c r="Q286">
        <v>1616119</v>
      </c>
      <c r="S286">
        <v>0</v>
      </c>
      <c r="T286">
        <v>256600</v>
      </c>
      <c r="U286">
        <v>25660</v>
      </c>
      <c r="V286">
        <v>1.3927</v>
      </c>
      <c r="W286">
        <v>1.3527333333</v>
      </c>
      <c r="X286">
        <v>3.0663666666</v>
      </c>
      <c r="Z286">
        <v>10090.549999999999</v>
      </c>
      <c r="AB286">
        <v>10093.290000000001</v>
      </c>
      <c r="AD286">
        <v>10091.64</v>
      </c>
      <c r="AF286" t="s">
        <v>182</v>
      </c>
      <c r="AG286" t="s">
        <v>185</v>
      </c>
      <c r="AI286" t="s">
        <v>186</v>
      </c>
      <c r="AJ286" t="s">
        <v>1038</v>
      </c>
      <c r="AK286" t="s">
        <v>188</v>
      </c>
    </row>
    <row r="287" spans="1:37" x14ac:dyDescent="0.3">
      <c r="A287">
        <v>8008</v>
      </c>
      <c r="B287" s="207">
        <v>46121</v>
      </c>
      <c r="C287" t="s">
        <v>438</v>
      </c>
      <c r="D287" t="s">
        <v>1039</v>
      </c>
      <c r="E287" t="s">
        <v>1040</v>
      </c>
      <c r="F287" s="207">
        <v>46752</v>
      </c>
      <c r="G287">
        <v>1.05</v>
      </c>
      <c r="H287">
        <v>6030</v>
      </c>
      <c r="I287">
        <v>5805917</v>
      </c>
      <c r="J287">
        <v>3.2290000000000001</v>
      </c>
      <c r="K287">
        <v>9972</v>
      </c>
      <c r="L287">
        <v>6013116</v>
      </c>
      <c r="M287">
        <v>-2578</v>
      </c>
      <c r="N287">
        <v>209777</v>
      </c>
      <c r="O287">
        <v>17653</v>
      </c>
      <c r="P287">
        <v>1068</v>
      </c>
      <c r="Q287">
        <v>191056</v>
      </c>
      <c r="S287">
        <v>0</v>
      </c>
      <c r="T287">
        <v>2620</v>
      </c>
      <c r="U287">
        <v>260</v>
      </c>
      <c r="V287">
        <v>1.7269333333000001</v>
      </c>
      <c r="W287">
        <v>1.6749333333</v>
      </c>
      <c r="X287">
        <v>4.3666333333000003</v>
      </c>
      <c r="Z287">
        <v>9970.1299999999992</v>
      </c>
      <c r="AB287">
        <v>9975.7800000000007</v>
      </c>
      <c r="AD287">
        <v>9972.1299999999992</v>
      </c>
      <c r="AF287" t="s">
        <v>182</v>
      </c>
      <c r="AG287" t="s">
        <v>185</v>
      </c>
      <c r="AI287" t="s">
        <v>186</v>
      </c>
      <c r="AJ287" t="s">
        <v>1041</v>
      </c>
      <c r="AK287" t="s">
        <v>188</v>
      </c>
    </row>
    <row r="288" spans="1:37" x14ac:dyDescent="0.3">
      <c r="A288">
        <v>8008</v>
      </c>
      <c r="B288" s="207">
        <v>46121</v>
      </c>
      <c r="C288" t="s">
        <v>438</v>
      </c>
      <c r="D288" t="s">
        <v>1042</v>
      </c>
      <c r="E288" t="s">
        <v>1043</v>
      </c>
      <c r="F288" s="207">
        <v>46783</v>
      </c>
      <c r="G288">
        <v>2.5</v>
      </c>
      <c r="H288">
        <v>3325</v>
      </c>
      <c r="I288">
        <v>3292725</v>
      </c>
      <c r="J288">
        <v>3.25</v>
      </c>
      <c r="K288">
        <v>10676</v>
      </c>
      <c r="L288">
        <v>3549770</v>
      </c>
      <c r="M288">
        <v>-15369</v>
      </c>
      <c r="N288">
        <v>272414</v>
      </c>
      <c r="O288">
        <v>24014</v>
      </c>
      <c r="P288">
        <v>152630</v>
      </c>
      <c r="Q288">
        <v>95770</v>
      </c>
      <c r="S288">
        <v>0</v>
      </c>
      <c r="T288">
        <v>24720</v>
      </c>
      <c r="U288">
        <v>2470</v>
      </c>
      <c r="V288">
        <v>1.8119000000000001</v>
      </c>
      <c r="W288">
        <v>1.7564333333</v>
      </c>
      <c r="X288">
        <v>4.7390333333000001</v>
      </c>
      <c r="Z288">
        <v>10673.66</v>
      </c>
      <c r="AB288">
        <v>10680.12</v>
      </c>
      <c r="AD288">
        <v>10675.72</v>
      </c>
      <c r="AF288" t="s">
        <v>182</v>
      </c>
      <c r="AG288" t="s">
        <v>185</v>
      </c>
      <c r="AI288" t="s">
        <v>186</v>
      </c>
      <c r="AJ288" t="s">
        <v>1044</v>
      </c>
      <c r="AK288" t="s">
        <v>188</v>
      </c>
    </row>
    <row r="289" spans="1:37" x14ac:dyDescent="0.3">
      <c r="A289">
        <v>8008</v>
      </c>
      <c r="B289" s="207">
        <v>46121</v>
      </c>
      <c r="C289" t="s">
        <v>438</v>
      </c>
      <c r="D289" t="s">
        <v>1045</v>
      </c>
      <c r="E289" t="s">
        <v>1046</v>
      </c>
      <c r="F289" s="207">
        <v>46873</v>
      </c>
      <c r="G289">
        <v>2.5</v>
      </c>
      <c r="H289">
        <v>5829</v>
      </c>
      <c r="I289">
        <v>5755812</v>
      </c>
      <c r="J289">
        <v>3.3050000000000002</v>
      </c>
      <c r="K289">
        <v>10582</v>
      </c>
      <c r="L289">
        <v>6168247</v>
      </c>
      <c r="M289">
        <v>-27273</v>
      </c>
      <c r="N289">
        <v>439708</v>
      </c>
      <c r="O289">
        <v>41845</v>
      </c>
      <c r="P289">
        <v>308704</v>
      </c>
      <c r="Q289">
        <v>89159</v>
      </c>
      <c r="S289">
        <v>0</v>
      </c>
      <c r="T289">
        <v>49070</v>
      </c>
      <c r="U289">
        <v>4900</v>
      </c>
      <c r="V289">
        <v>2.0566</v>
      </c>
      <c r="W289">
        <v>1.9904999999999999</v>
      </c>
      <c r="X289">
        <v>5.8721666666000001</v>
      </c>
      <c r="Z289">
        <v>10579.74</v>
      </c>
      <c r="AB289">
        <v>10586.56</v>
      </c>
      <c r="AD289">
        <v>10581.01</v>
      </c>
      <c r="AF289" t="s">
        <v>182</v>
      </c>
      <c r="AG289" t="s">
        <v>185</v>
      </c>
      <c r="AI289" t="s">
        <v>186</v>
      </c>
      <c r="AJ289" t="s">
        <v>1047</v>
      </c>
      <c r="AK289" t="s">
        <v>188</v>
      </c>
    </row>
    <row r="290" spans="1:37" x14ac:dyDescent="0.3">
      <c r="A290">
        <v>8008</v>
      </c>
      <c r="B290" s="207">
        <v>46121</v>
      </c>
      <c r="C290" t="s">
        <v>438</v>
      </c>
      <c r="D290" t="s">
        <v>1048</v>
      </c>
      <c r="E290" t="s">
        <v>1049</v>
      </c>
      <c r="F290" s="207">
        <v>46904</v>
      </c>
      <c r="G290">
        <v>2.5</v>
      </c>
      <c r="H290">
        <v>2875</v>
      </c>
      <c r="I290">
        <v>2835849</v>
      </c>
      <c r="J290">
        <v>3.3180000000000001</v>
      </c>
      <c r="K290">
        <v>10550</v>
      </c>
      <c r="L290">
        <v>3033125</v>
      </c>
      <c r="M290">
        <v>-13120</v>
      </c>
      <c r="N290">
        <v>210396</v>
      </c>
      <c r="O290">
        <v>20595</v>
      </c>
      <c r="P290">
        <v>60505</v>
      </c>
      <c r="Q290">
        <v>129296</v>
      </c>
      <c r="S290">
        <v>0</v>
      </c>
      <c r="T290">
        <v>11350</v>
      </c>
      <c r="U290">
        <v>1130</v>
      </c>
      <c r="V290">
        <v>2.1415666666000002</v>
      </c>
      <c r="W290">
        <v>2.0731666666000002</v>
      </c>
      <c r="X290">
        <v>6.2661666666000002</v>
      </c>
      <c r="Z290">
        <v>10547.66</v>
      </c>
      <c r="AB290">
        <v>10554.08</v>
      </c>
      <c r="AD290">
        <v>10548.53</v>
      </c>
      <c r="AF290" t="s">
        <v>182</v>
      </c>
      <c r="AG290" t="s">
        <v>185</v>
      </c>
      <c r="AI290" t="s">
        <v>186</v>
      </c>
      <c r="AJ290" t="s">
        <v>1050</v>
      </c>
      <c r="AK290" t="s">
        <v>188</v>
      </c>
    </row>
    <row r="291" spans="1:37" x14ac:dyDescent="0.3">
      <c r="A291">
        <v>8008</v>
      </c>
      <c r="B291" s="207">
        <v>46121</v>
      </c>
      <c r="C291" t="s">
        <v>438</v>
      </c>
      <c r="D291" t="s">
        <v>1051</v>
      </c>
      <c r="E291" t="s">
        <v>1052</v>
      </c>
      <c r="F291" s="207">
        <v>46934</v>
      </c>
      <c r="G291">
        <v>2.5</v>
      </c>
      <c r="H291">
        <v>32804</v>
      </c>
      <c r="I291">
        <v>32326485</v>
      </c>
      <c r="J291">
        <v>3.3290000000000002</v>
      </c>
      <c r="K291">
        <v>10518</v>
      </c>
      <c r="L291">
        <v>34503246</v>
      </c>
      <c r="M291">
        <v>-152509</v>
      </c>
      <c r="N291">
        <v>2329270</v>
      </c>
      <c r="O291">
        <v>234519</v>
      </c>
      <c r="P291">
        <v>1919398</v>
      </c>
      <c r="Q291">
        <v>175353</v>
      </c>
      <c r="S291">
        <v>0</v>
      </c>
      <c r="T291">
        <v>301530</v>
      </c>
      <c r="U291">
        <v>30140</v>
      </c>
      <c r="V291">
        <v>2.2237666666</v>
      </c>
      <c r="W291">
        <v>2.1530333332999998</v>
      </c>
      <c r="X291">
        <v>6.6643333333000001</v>
      </c>
      <c r="Z291">
        <v>10516.97</v>
      </c>
      <c r="AB291">
        <v>10522.72</v>
      </c>
      <c r="AD291">
        <v>10516.97</v>
      </c>
      <c r="AF291" t="s">
        <v>182</v>
      </c>
      <c r="AG291" t="s">
        <v>185</v>
      </c>
      <c r="AI291" t="s">
        <v>186</v>
      </c>
      <c r="AJ291" t="s">
        <v>1053</v>
      </c>
      <c r="AK291" t="s">
        <v>188</v>
      </c>
    </row>
    <row r="292" spans="1:37" x14ac:dyDescent="0.3">
      <c r="A292">
        <v>8008</v>
      </c>
      <c r="B292" s="207">
        <v>46121</v>
      </c>
      <c r="C292" t="s">
        <v>438</v>
      </c>
      <c r="D292" t="s">
        <v>1054</v>
      </c>
      <c r="E292" t="s">
        <v>1055</v>
      </c>
      <c r="F292" s="207">
        <v>46965</v>
      </c>
      <c r="G292">
        <v>2.5</v>
      </c>
      <c r="H292">
        <v>17013</v>
      </c>
      <c r="I292">
        <v>16748825</v>
      </c>
      <c r="J292">
        <v>3.3410000000000002</v>
      </c>
      <c r="K292">
        <v>10486</v>
      </c>
      <c r="L292">
        <v>17839831</v>
      </c>
      <c r="M292">
        <v>-78840</v>
      </c>
      <c r="N292">
        <v>1169846</v>
      </c>
      <c r="O292">
        <v>121372</v>
      </c>
      <c r="P292">
        <v>488619</v>
      </c>
      <c r="Q292">
        <v>559855</v>
      </c>
      <c r="S292">
        <v>0</v>
      </c>
      <c r="T292">
        <v>85390</v>
      </c>
      <c r="U292">
        <v>8530</v>
      </c>
      <c r="V292">
        <v>2.3086666666000002</v>
      </c>
      <c r="W292">
        <v>2.2354333333</v>
      </c>
      <c r="X292">
        <v>7.0929333333000004</v>
      </c>
      <c r="Z292">
        <v>10485.34</v>
      </c>
      <c r="AB292">
        <v>10490.35</v>
      </c>
      <c r="AD292">
        <v>10484.4</v>
      </c>
      <c r="AF292" t="s">
        <v>182</v>
      </c>
      <c r="AG292" t="s">
        <v>185</v>
      </c>
      <c r="AI292" t="s">
        <v>186</v>
      </c>
      <c r="AJ292" t="s">
        <v>1056</v>
      </c>
      <c r="AK292" t="s">
        <v>188</v>
      </c>
    </row>
    <row r="293" spans="1:37" x14ac:dyDescent="0.3">
      <c r="A293">
        <v>8008</v>
      </c>
      <c r="B293" s="207">
        <v>46121</v>
      </c>
      <c r="C293" t="s">
        <v>438</v>
      </c>
      <c r="D293" t="s">
        <v>1057</v>
      </c>
      <c r="E293" t="s">
        <v>1058</v>
      </c>
      <c r="F293" s="207">
        <v>47057</v>
      </c>
      <c r="G293">
        <v>2.5</v>
      </c>
      <c r="H293">
        <v>31086</v>
      </c>
      <c r="I293">
        <v>30509637</v>
      </c>
      <c r="J293">
        <v>3.3929999999999998</v>
      </c>
      <c r="K293">
        <v>10386</v>
      </c>
      <c r="L293">
        <v>32285919</v>
      </c>
      <c r="M293">
        <v>-155113</v>
      </c>
      <c r="N293">
        <v>1931395</v>
      </c>
      <c r="O293">
        <v>220394</v>
      </c>
      <c r="P293">
        <v>935237</v>
      </c>
      <c r="Q293">
        <v>775764</v>
      </c>
      <c r="S293">
        <v>0</v>
      </c>
      <c r="T293">
        <v>161770</v>
      </c>
      <c r="U293">
        <v>16160</v>
      </c>
      <c r="V293">
        <v>2.5607000000000002</v>
      </c>
      <c r="W293">
        <v>2.4784666666000001</v>
      </c>
      <c r="X293">
        <v>8.4631333333000001</v>
      </c>
      <c r="Z293">
        <v>10385.35</v>
      </c>
      <c r="AB293">
        <v>10390.07</v>
      </c>
      <c r="AD293">
        <v>10384.06</v>
      </c>
      <c r="AF293" t="s">
        <v>182</v>
      </c>
      <c r="AG293" t="s">
        <v>185</v>
      </c>
      <c r="AI293" t="s">
        <v>186</v>
      </c>
      <c r="AJ293" t="s">
        <v>1059</v>
      </c>
      <c r="AK293" t="s">
        <v>188</v>
      </c>
    </row>
    <row r="294" spans="1:37" x14ac:dyDescent="0.3">
      <c r="A294">
        <v>8008</v>
      </c>
      <c r="B294" s="207">
        <v>46121</v>
      </c>
      <c r="C294" t="s">
        <v>438</v>
      </c>
      <c r="D294" t="s">
        <v>1060</v>
      </c>
      <c r="E294" t="s">
        <v>1061</v>
      </c>
      <c r="F294" s="207">
        <v>47087</v>
      </c>
      <c r="G294">
        <v>2.5</v>
      </c>
      <c r="H294">
        <v>62021</v>
      </c>
      <c r="I294">
        <v>60805273</v>
      </c>
      <c r="J294">
        <v>3.4239999999999999</v>
      </c>
      <c r="K294">
        <v>10350</v>
      </c>
      <c r="L294">
        <v>64191735</v>
      </c>
      <c r="M294">
        <v>-333388</v>
      </c>
      <c r="N294">
        <v>3719850</v>
      </c>
      <c r="O294">
        <v>438825</v>
      </c>
      <c r="P294">
        <v>2953087</v>
      </c>
      <c r="Q294">
        <v>327938</v>
      </c>
      <c r="S294">
        <v>0</v>
      </c>
      <c r="T294">
        <v>474830</v>
      </c>
      <c r="U294">
        <v>47460</v>
      </c>
      <c r="V294">
        <v>2.6429</v>
      </c>
      <c r="W294">
        <v>2.5570333333000002</v>
      </c>
      <c r="X294">
        <v>8.9396666666000009</v>
      </c>
      <c r="Z294">
        <v>10348.48</v>
      </c>
      <c r="AB294">
        <v>10353.59</v>
      </c>
      <c r="AD294">
        <v>10348.209999999999</v>
      </c>
      <c r="AF294" t="s">
        <v>182</v>
      </c>
      <c r="AG294" t="s">
        <v>185</v>
      </c>
      <c r="AI294" t="s">
        <v>186</v>
      </c>
      <c r="AJ294" t="s">
        <v>1062</v>
      </c>
      <c r="AK294" t="s">
        <v>188</v>
      </c>
    </row>
    <row r="295" spans="1:37" x14ac:dyDescent="0.3">
      <c r="A295">
        <v>8008</v>
      </c>
      <c r="B295" s="207">
        <v>46121</v>
      </c>
      <c r="C295" t="s">
        <v>438</v>
      </c>
      <c r="D295" t="s">
        <v>1063</v>
      </c>
      <c r="E295" t="s">
        <v>1064</v>
      </c>
      <c r="F295" s="207">
        <v>47118</v>
      </c>
      <c r="G295">
        <v>2.5</v>
      </c>
      <c r="H295">
        <v>2890</v>
      </c>
      <c r="I295">
        <v>2830478</v>
      </c>
      <c r="J295">
        <v>3.4550000000000001</v>
      </c>
      <c r="K295">
        <v>10312</v>
      </c>
      <c r="L295">
        <v>2980168</v>
      </c>
      <c r="M295">
        <v>-17226</v>
      </c>
      <c r="N295">
        <v>166916</v>
      </c>
      <c r="O295">
        <v>20405</v>
      </c>
      <c r="P295">
        <v>1232</v>
      </c>
      <c r="Q295">
        <v>145279</v>
      </c>
      <c r="S295">
        <v>0</v>
      </c>
      <c r="T295">
        <v>3020</v>
      </c>
      <c r="U295">
        <v>300</v>
      </c>
      <c r="V295">
        <v>2.7278666666000002</v>
      </c>
      <c r="W295">
        <v>2.6379999999999999</v>
      </c>
      <c r="X295">
        <v>9.4481333332999995</v>
      </c>
      <c r="Z295">
        <v>10310.89</v>
      </c>
      <c r="AB295">
        <v>10315.32</v>
      </c>
      <c r="AD295">
        <v>10310.620000000001</v>
      </c>
      <c r="AF295" t="s">
        <v>182</v>
      </c>
      <c r="AG295" t="s">
        <v>185</v>
      </c>
      <c r="AI295" t="s">
        <v>186</v>
      </c>
      <c r="AJ295" t="s">
        <v>1065</v>
      </c>
      <c r="AK295" t="s">
        <v>188</v>
      </c>
    </row>
    <row r="296" spans="1:37" x14ac:dyDescent="0.3">
      <c r="A296">
        <v>8008</v>
      </c>
      <c r="B296" s="207">
        <v>46121</v>
      </c>
      <c r="C296" t="s">
        <v>438</v>
      </c>
      <c r="D296" t="s">
        <v>1066</v>
      </c>
      <c r="E296" t="s">
        <v>1067</v>
      </c>
      <c r="F296" s="207">
        <v>47208</v>
      </c>
      <c r="G296">
        <v>2.5</v>
      </c>
      <c r="H296">
        <v>14216</v>
      </c>
      <c r="I296">
        <v>13887350</v>
      </c>
      <c r="J296">
        <v>3.5419999999999998</v>
      </c>
      <c r="K296">
        <v>10201</v>
      </c>
      <c r="L296">
        <v>14501740</v>
      </c>
      <c r="M296">
        <v>-115402</v>
      </c>
      <c r="N296">
        <v>729792</v>
      </c>
      <c r="O296">
        <v>99764</v>
      </c>
      <c r="P296">
        <v>586641</v>
      </c>
      <c r="Q296">
        <v>43387</v>
      </c>
      <c r="S296">
        <v>0</v>
      </c>
      <c r="T296">
        <v>96090</v>
      </c>
      <c r="U296">
        <v>9600</v>
      </c>
      <c r="V296">
        <v>2.9744000000000002</v>
      </c>
      <c r="W296">
        <v>2.8720666665999999</v>
      </c>
      <c r="X296">
        <v>11.0145666666</v>
      </c>
      <c r="Z296">
        <v>10202.31</v>
      </c>
      <c r="AB296">
        <v>10202.379999999999</v>
      </c>
      <c r="AD296">
        <v>10199.969999999999</v>
      </c>
      <c r="AF296" t="s">
        <v>182</v>
      </c>
      <c r="AG296" t="s">
        <v>185</v>
      </c>
      <c r="AI296" t="s">
        <v>186</v>
      </c>
      <c r="AJ296" t="s">
        <v>1068</v>
      </c>
      <c r="AK296" t="s">
        <v>188</v>
      </c>
    </row>
    <row r="297" spans="1:37" x14ac:dyDescent="0.3">
      <c r="A297">
        <v>8008</v>
      </c>
      <c r="B297" s="207">
        <v>46121</v>
      </c>
      <c r="C297" t="s">
        <v>438</v>
      </c>
      <c r="D297" t="s">
        <v>1069</v>
      </c>
      <c r="E297" t="s">
        <v>1070</v>
      </c>
      <c r="F297" s="207">
        <v>47269</v>
      </c>
      <c r="G297">
        <v>2.5</v>
      </c>
      <c r="H297">
        <v>22320</v>
      </c>
      <c r="I297">
        <v>21766073</v>
      </c>
      <c r="J297">
        <v>3.5539999999999998</v>
      </c>
      <c r="K297">
        <v>10138</v>
      </c>
      <c r="L297">
        <v>22628013</v>
      </c>
      <c r="M297">
        <v>-187238</v>
      </c>
      <c r="N297">
        <v>1049178</v>
      </c>
      <c r="O297">
        <v>155990</v>
      </c>
      <c r="P297">
        <v>564682</v>
      </c>
      <c r="Q297">
        <v>328506</v>
      </c>
      <c r="S297">
        <v>0</v>
      </c>
      <c r="T297">
        <v>100860</v>
      </c>
      <c r="U297">
        <v>10050</v>
      </c>
      <c r="V297">
        <v>3.1415666666000002</v>
      </c>
      <c r="W297">
        <v>3.0341999999999998</v>
      </c>
      <c r="X297">
        <v>12.098100000000001</v>
      </c>
      <c r="Z297">
        <v>10137.969999999999</v>
      </c>
      <c r="AB297">
        <v>10139.58</v>
      </c>
      <c r="AD297">
        <v>10136.73</v>
      </c>
      <c r="AF297" t="s">
        <v>182</v>
      </c>
      <c r="AG297" t="s">
        <v>185</v>
      </c>
      <c r="AI297" t="s">
        <v>186</v>
      </c>
      <c r="AJ297" t="s">
        <v>1071</v>
      </c>
      <c r="AK297" t="s">
        <v>188</v>
      </c>
    </row>
    <row r="298" spans="1:37" x14ac:dyDescent="0.3">
      <c r="A298">
        <v>8008</v>
      </c>
      <c r="B298" s="207">
        <v>46121</v>
      </c>
      <c r="C298" t="s">
        <v>438</v>
      </c>
      <c r="D298" t="s">
        <v>1072</v>
      </c>
      <c r="E298" t="s">
        <v>1073</v>
      </c>
      <c r="F298" s="207">
        <v>47422</v>
      </c>
      <c r="G298">
        <v>2.5</v>
      </c>
      <c r="H298">
        <v>21950</v>
      </c>
      <c r="I298">
        <v>21117850</v>
      </c>
      <c r="J298">
        <v>3.5649999999999999</v>
      </c>
      <c r="K298">
        <v>9986</v>
      </c>
      <c r="L298">
        <v>21919270</v>
      </c>
      <c r="M298">
        <v>6279</v>
      </c>
      <c r="N298">
        <v>795141</v>
      </c>
      <c r="O298">
        <v>98661</v>
      </c>
      <c r="P298">
        <v>5242</v>
      </c>
      <c r="Q298">
        <v>691238</v>
      </c>
      <c r="S298">
        <v>0</v>
      </c>
      <c r="T298">
        <v>14530</v>
      </c>
      <c r="U298">
        <v>1440</v>
      </c>
      <c r="V298">
        <v>3.5607000000000002</v>
      </c>
      <c r="W298">
        <v>3.4400333333000002</v>
      </c>
      <c r="X298">
        <v>15.0791333333</v>
      </c>
      <c r="Z298">
        <v>9983.99</v>
      </c>
      <c r="AB298">
        <v>9990.6</v>
      </c>
      <c r="AD298">
        <v>9984.33</v>
      </c>
      <c r="AF298" t="s">
        <v>182</v>
      </c>
      <c r="AG298" t="s">
        <v>185</v>
      </c>
      <c r="AI298" t="s">
        <v>186</v>
      </c>
      <c r="AJ298" t="s">
        <v>1074</v>
      </c>
      <c r="AK298" t="s">
        <v>188</v>
      </c>
    </row>
    <row r="299" spans="1:37" x14ac:dyDescent="0.3">
      <c r="A299">
        <v>8008</v>
      </c>
      <c r="B299" s="207">
        <v>46121</v>
      </c>
      <c r="C299" t="s">
        <v>438</v>
      </c>
      <c r="D299" t="s">
        <v>1075</v>
      </c>
      <c r="E299" t="s">
        <v>1076</v>
      </c>
      <c r="F299" s="207">
        <v>47664</v>
      </c>
      <c r="G299">
        <v>2.5</v>
      </c>
      <c r="H299">
        <v>2338</v>
      </c>
      <c r="I299">
        <v>2249170</v>
      </c>
      <c r="J299">
        <v>3.6059999999999999</v>
      </c>
      <c r="K299">
        <v>9741</v>
      </c>
      <c r="L299">
        <v>2277445</v>
      </c>
      <c r="M299">
        <v>-17078</v>
      </c>
      <c r="N299">
        <v>45353</v>
      </c>
      <c r="O299">
        <v>15909</v>
      </c>
      <c r="P299">
        <v>21355</v>
      </c>
      <c r="Q299">
        <v>8089</v>
      </c>
      <c r="S299">
        <v>0</v>
      </c>
      <c r="T299">
        <v>5210</v>
      </c>
      <c r="U299">
        <v>510</v>
      </c>
      <c r="V299">
        <v>4.2237666666000004</v>
      </c>
      <c r="W299">
        <v>4.0778666666000003</v>
      </c>
      <c r="X299">
        <v>20.509933333300001</v>
      </c>
      <c r="Z299">
        <v>9732.91</v>
      </c>
      <c r="AB299">
        <v>9748.8799999999992</v>
      </c>
      <c r="AD299">
        <v>9742.0499999999993</v>
      </c>
      <c r="AF299" t="s">
        <v>182</v>
      </c>
      <c r="AG299" t="s">
        <v>185</v>
      </c>
      <c r="AI299" t="s">
        <v>186</v>
      </c>
      <c r="AJ299" t="s">
        <v>1077</v>
      </c>
      <c r="AK299" t="s">
        <v>188</v>
      </c>
    </row>
    <row r="300" spans="1:37" x14ac:dyDescent="0.3">
      <c r="A300">
        <v>8008</v>
      </c>
      <c r="B300" s="207">
        <v>46121</v>
      </c>
      <c r="C300" t="s">
        <v>438</v>
      </c>
      <c r="D300" t="s">
        <v>1078</v>
      </c>
      <c r="E300" t="s">
        <v>1079</v>
      </c>
      <c r="F300" s="207">
        <v>47695</v>
      </c>
      <c r="G300">
        <v>2.5</v>
      </c>
      <c r="H300">
        <v>125259</v>
      </c>
      <c r="I300">
        <v>120352266</v>
      </c>
      <c r="J300">
        <v>3.6160000000000001</v>
      </c>
      <c r="K300">
        <v>9707</v>
      </c>
      <c r="L300">
        <v>121588908</v>
      </c>
      <c r="M300">
        <v>-925702</v>
      </c>
      <c r="N300">
        <v>2162344</v>
      </c>
      <c r="O300">
        <v>850545</v>
      </c>
      <c r="P300">
        <v>1063952</v>
      </c>
      <c r="Q300">
        <v>247847</v>
      </c>
      <c r="S300">
        <v>0</v>
      </c>
      <c r="T300">
        <v>268000</v>
      </c>
      <c r="U300">
        <v>26780</v>
      </c>
      <c r="V300">
        <v>4.3086666665999998</v>
      </c>
      <c r="W300">
        <v>4.1598666666000002</v>
      </c>
      <c r="X300">
        <v>21.252233333300001</v>
      </c>
      <c r="Z300">
        <v>9699.2199999999993</v>
      </c>
      <c r="AB300">
        <v>9715.0499999999993</v>
      </c>
      <c r="AD300">
        <v>9708.91</v>
      </c>
      <c r="AF300" t="s">
        <v>182</v>
      </c>
      <c r="AG300" t="s">
        <v>185</v>
      </c>
      <c r="AI300" t="s">
        <v>186</v>
      </c>
      <c r="AJ300" t="s">
        <v>1080</v>
      </c>
      <c r="AK300" t="s">
        <v>188</v>
      </c>
    </row>
    <row r="301" spans="1:37" x14ac:dyDescent="0.3">
      <c r="A301">
        <v>8008</v>
      </c>
      <c r="B301" s="207">
        <v>46121</v>
      </c>
      <c r="C301" t="s">
        <v>438</v>
      </c>
      <c r="D301" t="s">
        <v>1081</v>
      </c>
      <c r="E301" t="s">
        <v>1082</v>
      </c>
      <c r="F301" s="207">
        <v>47726</v>
      </c>
      <c r="G301">
        <v>2</v>
      </c>
      <c r="H301">
        <v>25140</v>
      </c>
      <c r="I301">
        <v>23576405</v>
      </c>
      <c r="J301">
        <v>3.6240000000000001</v>
      </c>
      <c r="K301">
        <v>9440</v>
      </c>
      <c r="L301">
        <v>23732160</v>
      </c>
      <c r="M301">
        <v>-148870</v>
      </c>
      <c r="N301">
        <v>304625</v>
      </c>
      <c r="O301">
        <v>136300</v>
      </c>
      <c r="P301">
        <v>127378</v>
      </c>
      <c r="Q301">
        <v>40947</v>
      </c>
      <c r="S301">
        <v>0</v>
      </c>
      <c r="T301">
        <v>36910</v>
      </c>
      <c r="U301">
        <v>3690</v>
      </c>
      <c r="V301">
        <v>4.3936000000000002</v>
      </c>
      <c r="W301">
        <v>4.2417666666000002</v>
      </c>
      <c r="X301">
        <v>22.011633333300001</v>
      </c>
      <c r="Z301">
        <v>9433.5</v>
      </c>
      <c r="AB301">
        <v>9447.02</v>
      </c>
      <c r="AD301">
        <v>9441.91</v>
      </c>
      <c r="AF301" t="s">
        <v>182</v>
      </c>
      <c r="AG301" t="s">
        <v>185</v>
      </c>
      <c r="AI301" t="s">
        <v>186</v>
      </c>
      <c r="AJ301" t="s">
        <v>1083</v>
      </c>
      <c r="AK301" t="s">
        <v>188</v>
      </c>
    </row>
    <row r="302" spans="1:37" x14ac:dyDescent="0.3">
      <c r="A302">
        <v>8008</v>
      </c>
      <c r="B302" s="207">
        <v>46121</v>
      </c>
      <c r="C302" t="s">
        <v>438</v>
      </c>
      <c r="D302" t="s">
        <v>1084</v>
      </c>
      <c r="E302" t="s">
        <v>1085</v>
      </c>
      <c r="F302" s="207">
        <v>47756</v>
      </c>
      <c r="G302">
        <v>2</v>
      </c>
      <c r="H302">
        <v>17650</v>
      </c>
      <c r="I302">
        <v>16526431</v>
      </c>
      <c r="J302">
        <v>3.633</v>
      </c>
      <c r="K302">
        <v>9409</v>
      </c>
      <c r="L302">
        <v>16606885</v>
      </c>
      <c r="M302">
        <v>-104362</v>
      </c>
      <c r="N302">
        <v>184816</v>
      </c>
      <c r="O302">
        <v>95537</v>
      </c>
      <c r="P302">
        <v>5773</v>
      </c>
      <c r="Q302">
        <v>83506</v>
      </c>
      <c r="S302">
        <v>0</v>
      </c>
      <c r="T302">
        <v>14180</v>
      </c>
      <c r="U302">
        <v>1410</v>
      </c>
      <c r="V302">
        <v>4.4757999999999996</v>
      </c>
      <c r="W302">
        <v>4.3208666665999997</v>
      </c>
      <c r="X302">
        <v>22.7617666666</v>
      </c>
      <c r="Z302">
        <v>9402.89</v>
      </c>
      <c r="AB302">
        <v>9414.9699999999993</v>
      </c>
      <c r="AD302">
        <v>9411.0300000000007</v>
      </c>
      <c r="AF302" t="s">
        <v>182</v>
      </c>
      <c r="AG302" t="s">
        <v>185</v>
      </c>
      <c r="AI302" t="s">
        <v>186</v>
      </c>
      <c r="AJ302" t="s">
        <v>1086</v>
      </c>
      <c r="AK302" t="s">
        <v>188</v>
      </c>
    </row>
    <row r="303" spans="1:37" x14ac:dyDescent="0.3">
      <c r="A303">
        <v>8008</v>
      </c>
      <c r="B303" s="207">
        <v>46121</v>
      </c>
      <c r="C303" t="s">
        <v>438</v>
      </c>
      <c r="D303" t="s">
        <v>1087</v>
      </c>
      <c r="E303" t="s">
        <v>1088</v>
      </c>
      <c r="F303" s="207">
        <v>47787</v>
      </c>
      <c r="G303">
        <v>2</v>
      </c>
      <c r="H303">
        <v>46750</v>
      </c>
      <c r="I303">
        <v>43466362</v>
      </c>
      <c r="J303">
        <v>3.6419999999999999</v>
      </c>
      <c r="K303">
        <v>9377</v>
      </c>
      <c r="L303">
        <v>43837475</v>
      </c>
      <c r="M303">
        <v>-39029</v>
      </c>
      <c r="N303">
        <v>410142</v>
      </c>
      <c r="O303">
        <v>245954</v>
      </c>
      <c r="P303">
        <v>41149</v>
      </c>
      <c r="Q303">
        <v>123039</v>
      </c>
      <c r="S303">
        <v>0</v>
      </c>
      <c r="T303">
        <v>40190</v>
      </c>
      <c r="U303">
        <v>4010</v>
      </c>
      <c r="V303">
        <v>4.5606999999999998</v>
      </c>
      <c r="W303">
        <v>4.4024333333000003</v>
      </c>
      <c r="X303">
        <v>23.5527666666</v>
      </c>
      <c r="Z303">
        <v>9371.44</v>
      </c>
      <c r="AB303">
        <v>9381.6299999999992</v>
      </c>
      <c r="AD303">
        <v>9379.2900000000009</v>
      </c>
      <c r="AF303" t="s">
        <v>182</v>
      </c>
      <c r="AG303" t="s">
        <v>185</v>
      </c>
      <c r="AI303" t="s">
        <v>186</v>
      </c>
      <c r="AJ303" t="s">
        <v>1089</v>
      </c>
      <c r="AK303" t="s">
        <v>188</v>
      </c>
    </row>
    <row r="304" spans="1:37" x14ac:dyDescent="0.3">
      <c r="A304">
        <v>8008</v>
      </c>
      <c r="B304" s="207">
        <v>46121</v>
      </c>
      <c r="C304" t="s">
        <v>438</v>
      </c>
      <c r="D304" t="s">
        <v>1090</v>
      </c>
      <c r="E304" t="s">
        <v>1091</v>
      </c>
      <c r="F304" s="207">
        <v>47817</v>
      </c>
      <c r="G304">
        <v>2</v>
      </c>
      <c r="H304">
        <v>1920</v>
      </c>
      <c r="I304">
        <v>1791864</v>
      </c>
      <c r="J304">
        <v>3.6509999999999998</v>
      </c>
      <c r="K304">
        <v>9345</v>
      </c>
      <c r="L304">
        <v>1794240</v>
      </c>
      <c r="M304">
        <v>-11318</v>
      </c>
      <c r="N304">
        <v>13694</v>
      </c>
      <c r="O304">
        <v>10358</v>
      </c>
      <c r="P304">
        <v>222</v>
      </c>
      <c r="Q304">
        <v>3114</v>
      </c>
      <c r="S304">
        <v>0</v>
      </c>
      <c r="T304">
        <v>1480</v>
      </c>
      <c r="U304">
        <v>140</v>
      </c>
      <c r="V304">
        <v>4.6429</v>
      </c>
      <c r="W304">
        <v>4.4810999999999996</v>
      </c>
      <c r="X304">
        <v>24.332899999999999</v>
      </c>
      <c r="Z304">
        <v>9339.73</v>
      </c>
      <c r="AB304">
        <v>9349.64</v>
      </c>
      <c r="AD304">
        <v>9348.5400000000009</v>
      </c>
      <c r="AF304" t="s">
        <v>182</v>
      </c>
      <c r="AG304" t="s">
        <v>185</v>
      </c>
      <c r="AI304" t="s">
        <v>186</v>
      </c>
      <c r="AJ304" t="s">
        <v>1092</v>
      </c>
      <c r="AK304" t="s">
        <v>188</v>
      </c>
    </row>
    <row r="305" spans="1:37" x14ac:dyDescent="0.3">
      <c r="A305">
        <v>8008</v>
      </c>
      <c r="B305" s="207">
        <v>46121</v>
      </c>
      <c r="C305" t="s">
        <v>438</v>
      </c>
      <c r="D305" t="s">
        <v>1093</v>
      </c>
      <c r="E305" t="s">
        <v>1094</v>
      </c>
      <c r="F305" s="207">
        <v>47879</v>
      </c>
      <c r="G305">
        <v>2</v>
      </c>
      <c r="H305">
        <v>2086</v>
      </c>
      <c r="I305">
        <v>1931532</v>
      </c>
      <c r="J305">
        <v>3.6709999999999998</v>
      </c>
      <c r="K305">
        <v>9281</v>
      </c>
      <c r="L305">
        <v>1936016</v>
      </c>
      <c r="M305">
        <v>-3339</v>
      </c>
      <c r="N305">
        <v>7823</v>
      </c>
      <c r="O305">
        <v>4800</v>
      </c>
      <c r="P305">
        <v>0</v>
      </c>
      <c r="Q305">
        <v>3023</v>
      </c>
      <c r="S305">
        <v>0</v>
      </c>
      <c r="T305">
        <v>670</v>
      </c>
      <c r="U305">
        <v>60</v>
      </c>
      <c r="V305">
        <v>4.8128000000000002</v>
      </c>
      <c r="W305">
        <v>4.6432000000000002</v>
      </c>
      <c r="X305">
        <v>25.9916666666</v>
      </c>
      <c r="Z305">
        <v>9274.6299999999992</v>
      </c>
      <c r="AB305">
        <v>9283.5</v>
      </c>
      <c r="AD305">
        <v>9284.98</v>
      </c>
      <c r="AF305" t="s">
        <v>182</v>
      </c>
      <c r="AG305" t="s">
        <v>185</v>
      </c>
      <c r="AI305" t="s">
        <v>186</v>
      </c>
      <c r="AJ305" t="s">
        <v>1095</v>
      </c>
      <c r="AK305" t="s">
        <v>188</v>
      </c>
    </row>
    <row r="306" spans="1:37" x14ac:dyDescent="0.3">
      <c r="A306">
        <v>8008</v>
      </c>
      <c r="B306" s="207">
        <v>46121</v>
      </c>
      <c r="C306" t="s">
        <v>438</v>
      </c>
      <c r="D306" t="s">
        <v>1096</v>
      </c>
      <c r="E306" t="s">
        <v>1097</v>
      </c>
      <c r="F306" s="207">
        <v>47907</v>
      </c>
      <c r="G306">
        <v>2</v>
      </c>
      <c r="H306">
        <v>735</v>
      </c>
      <c r="I306">
        <v>665999</v>
      </c>
      <c r="J306">
        <v>3.681</v>
      </c>
      <c r="K306">
        <v>9251</v>
      </c>
      <c r="L306">
        <v>679948</v>
      </c>
      <c r="M306">
        <v>12313</v>
      </c>
      <c r="N306">
        <v>1636</v>
      </c>
      <c r="O306">
        <v>417</v>
      </c>
      <c r="P306">
        <v>0</v>
      </c>
      <c r="Q306">
        <v>1219</v>
      </c>
      <c r="S306">
        <v>0</v>
      </c>
      <c r="T306">
        <v>50</v>
      </c>
      <c r="U306">
        <v>0</v>
      </c>
      <c r="V306">
        <v>4.8895</v>
      </c>
      <c r="W306">
        <v>4.7161333333000002</v>
      </c>
      <c r="X306">
        <v>26.7605333333</v>
      </c>
      <c r="Z306">
        <v>9244</v>
      </c>
      <c r="AB306">
        <v>9253.84</v>
      </c>
      <c r="AD306">
        <v>9256.2199999999993</v>
      </c>
      <c r="AF306" t="s">
        <v>182</v>
      </c>
      <c r="AG306" t="s">
        <v>185</v>
      </c>
      <c r="AI306" t="s">
        <v>186</v>
      </c>
      <c r="AJ306" t="s">
        <v>1098</v>
      </c>
      <c r="AK306" t="s">
        <v>188</v>
      </c>
    </row>
    <row r="307" spans="1:37" x14ac:dyDescent="0.3">
      <c r="A307">
        <v>8008</v>
      </c>
      <c r="B307" s="207">
        <v>46121</v>
      </c>
      <c r="C307" t="s">
        <v>438</v>
      </c>
      <c r="D307" t="s">
        <v>1099</v>
      </c>
      <c r="E307" t="s">
        <v>1100</v>
      </c>
      <c r="F307" s="207">
        <v>47968</v>
      </c>
      <c r="G307">
        <v>2</v>
      </c>
      <c r="H307">
        <v>54878</v>
      </c>
      <c r="I307">
        <v>49975931</v>
      </c>
      <c r="J307">
        <v>3.7010000000000001</v>
      </c>
      <c r="K307">
        <v>9187</v>
      </c>
      <c r="L307">
        <v>50416418</v>
      </c>
      <c r="M307">
        <v>440487</v>
      </c>
      <c r="N307">
        <v>0</v>
      </c>
      <c r="O307">
        <v>0</v>
      </c>
      <c r="P307">
        <v>0</v>
      </c>
      <c r="Q307">
        <v>0</v>
      </c>
      <c r="S307">
        <v>0</v>
      </c>
      <c r="T307">
        <v>0</v>
      </c>
      <c r="U307">
        <v>0</v>
      </c>
      <c r="V307">
        <v>5.0566000000000004</v>
      </c>
      <c r="W307">
        <v>4.8758666666000003</v>
      </c>
      <c r="X307">
        <v>28.459566666600001</v>
      </c>
      <c r="Z307">
        <v>9177.61</v>
      </c>
      <c r="AB307">
        <v>9189.0300000000007</v>
      </c>
      <c r="AD307">
        <v>9195.08</v>
      </c>
      <c r="AF307" t="s">
        <v>182</v>
      </c>
      <c r="AG307" t="s">
        <v>185</v>
      </c>
      <c r="AI307" t="s">
        <v>186</v>
      </c>
      <c r="AJ307" t="s">
        <v>1101</v>
      </c>
      <c r="AK307" t="s">
        <v>188</v>
      </c>
    </row>
    <row r="308" spans="1:37" x14ac:dyDescent="0.3">
      <c r="A308">
        <v>8008</v>
      </c>
      <c r="B308" s="207">
        <v>46121</v>
      </c>
      <c r="C308" t="s">
        <v>438</v>
      </c>
      <c r="D308" t="s">
        <v>1102</v>
      </c>
      <c r="E308" t="s">
        <v>1103</v>
      </c>
      <c r="F308" s="207">
        <v>46812</v>
      </c>
      <c r="G308">
        <v>2.5</v>
      </c>
      <c r="H308">
        <v>11549</v>
      </c>
      <c r="I308">
        <v>11426889</v>
      </c>
      <c r="J308">
        <v>3.2709999999999999</v>
      </c>
      <c r="K308">
        <v>10646</v>
      </c>
      <c r="L308">
        <v>12295064</v>
      </c>
      <c r="M308">
        <v>-54377</v>
      </c>
      <c r="N308">
        <v>922552</v>
      </c>
      <c r="O308">
        <v>83249</v>
      </c>
      <c r="P308">
        <v>641259</v>
      </c>
      <c r="Q308">
        <v>198044</v>
      </c>
      <c r="S308">
        <v>0</v>
      </c>
      <c r="T308">
        <v>101410</v>
      </c>
      <c r="U308">
        <v>10120</v>
      </c>
      <c r="V308">
        <v>1.8895</v>
      </c>
      <c r="W308">
        <v>1.8297666666000001</v>
      </c>
      <c r="X308">
        <v>5.0894666665999999</v>
      </c>
      <c r="Z308">
        <v>10643</v>
      </c>
      <c r="AB308">
        <v>10650.68</v>
      </c>
      <c r="AD308">
        <v>10645.73</v>
      </c>
      <c r="AF308" t="s">
        <v>182</v>
      </c>
      <c r="AG308" t="s">
        <v>185</v>
      </c>
      <c r="AI308" t="s">
        <v>186</v>
      </c>
      <c r="AJ308" t="s">
        <v>1104</v>
      </c>
      <c r="AK308" t="s">
        <v>188</v>
      </c>
    </row>
    <row r="309" spans="1:37" x14ac:dyDescent="0.3">
      <c r="A309">
        <v>8008</v>
      </c>
      <c r="B309" s="207">
        <v>46121</v>
      </c>
      <c r="C309" t="s">
        <v>438</v>
      </c>
      <c r="D309" t="s">
        <v>1105</v>
      </c>
      <c r="E309" t="s">
        <v>1106</v>
      </c>
      <c r="F309" s="207">
        <v>47330</v>
      </c>
      <c r="G309">
        <v>2.5</v>
      </c>
      <c r="H309">
        <v>8967</v>
      </c>
      <c r="I309">
        <v>8729065</v>
      </c>
      <c r="J309">
        <v>3.5590000000000002</v>
      </c>
      <c r="K309">
        <v>10077</v>
      </c>
      <c r="L309">
        <v>9036045</v>
      </c>
      <c r="M309">
        <v>-75862</v>
      </c>
      <c r="N309">
        <v>382842</v>
      </c>
      <c r="O309">
        <v>62411</v>
      </c>
      <c r="P309">
        <v>302234</v>
      </c>
      <c r="Q309">
        <v>18197</v>
      </c>
      <c r="S309">
        <v>0</v>
      </c>
      <c r="T309">
        <v>51050</v>
      </c>
      <c r="U309">
        <v>5100</v>
      </c>
      <c r="V309">
        <v>3.3086666666000002</v>
      </c>
      <c r="W309">
        <v>3.1964999999999999</v>
      </c>
      <c r="X309">
        <v>13.2372</v>
      </c>
      <c r="Z309">
        <v>10076.129999999999</v>
      </c>
      <c r="AB309">
        <v>10079.75</v>
      </c>
      <c r="AD309">
        <v>10075.48</v>
      </c>
      <c r="AF309" t="s">
        <v>182</v>
      </c>
      <c r="AG309" t="s">
        <v>185</v>
      </c>
      <c r="AI309" t="s">
        <v>186</v>
      </c>
      <c r="AJ309" t="s">
        <v>1107</v>
      </c>
      <c r="AK309" t="s">
        <v>188</v>
      </c>
    </row>
    <row r="310" spans="1:37" x14ac:dyDescent="0.3">
      <c r="A310">
        <v>8008</v>
      </c>
      <c r="B310" s="207">
        <v>46121</v>
      </c>
      <c r="C310" t="s">
        <v>438</v>
      </c>
      <c r="D310" t="s">
        <v>1108</v>
      </c>
      <c r="E310" t="s">
        <v>1109</v>
      </c>
      <c r="F310" s="207">
        <v>47452</v>
      </c>
      <c r="G310">
        <v>2.5</v>
      </c>
      <c r="H310">
        <v>118927</v>
      </c>
      <c r="I310">
        <v>115356652</v>
      </c>
      <c r="J310">
        <v>3.5670000000000002</v>
      </c>
      <c r="K310">
        <v>9956</v>
      </c>
      <c r="L310">
        <v>118403721</v>
      </c>
      <c r="M310">
        <v>-1011219</v>
      </c>
      <c r="N310">
        <v>4058288</v>
      </c>
      <c r="O310">
        <v>820936</v>
      </c>
      <c r="P310">
        <v>2221594</v>
      </c>
      <c r="Q310">
        <v>1015758</v>
      </c>
      <c r="S310">
        <v>0</v>
      </c>
      <c r="T310">
        <v>425950</v>
      </c>
      <c r="U310">
        <v>42580</v>
      </c>
      <c r="V310">
        <v>3.6429</v>
      </c>
      <c r="W310">
        <v>3.5191333333000001</v>
      </c>
      <c r="X310">
        <v>15.711333333300001</v>
      </c>
      <c r="Z310">
        <v>9953.58</v>
      </c>
      <c r="AB310">
        <v>9962.07</v>
      </c>
      <c r="AD310">
        <v>9954.98</v>
      </c>
      <c r="AF310" t="s">
        <v>182</v>
      </c>
      <c r="AG310" t="s">
        <v>185</v>
      </c>
      <c r="AI310" t="s">
        <v>186</v>
      </c>
      <c r="AJ310" t="s">
        <v>1110</v>
      </c>
      <c r="AK310" t="s">
        <v>188</v>
      </c>
    </row>
    <row r="311" spans="1:37" x14ac:dyDescent="0.3">
      <c r="A311">
        <v>8008</v>
      </c>
      <c r="B311" s="207">
        <v>46121</v>
      </c>
      <c r="C311" t="s">
        <v>438</v>
      </c>
      <c r="D311" t="s">
        <v>1111</v>
      </c>
      <c r="E311" t="s">
        <v>1112</v>
      </c>
      <c r="F311" s="207">
        <v>47299</v>
      </c>
      <c r="G311">
        <v>2.5</v>
      </c>
      <c r="H311">
        <v>13434</v>
      </c>
      <c r="I311">
        <v>13088627</v>
      </c>
      <c r="J311">
        <v>3.5569999999999999</v>
      </c>
      <c r="K311">
        <v>10107</v>
      </c>
      <c r="L311">
        <v>13577743</v>
      </c>
      <c r="M311">
        <v>-113849</v>
      </c>
      <c r="N311">
        <v>602965</v>
      </c>
      <c r="O311">
        <v>93698</v>
      </c>
      <c r="P311">
        <v>453464</v>
      </c>
      <c r="Q311">
        <v>55803</v>
      </c>
      <c r="S311">
        <v>0</v>
      </c>
      <c r="T311">
        <v>76590</v>
      </c>
      <c r="U311">
        <v>7640</v>
      </c>
      <c r="V311">
        <v>3.2237666666</v>
      </c>
      <c r="W311">
        <v>3.1140666665999999</v>
      </c>
      <c r="X311">
        <v>12.649900000000001</v>
      </c>
      <c r="Z311">
        <v>10107.32</v>
      </c>
      <c r="AB311">
        <v>10109.91</v>
      </c>
      <c r="AD311">
        <v>10106.370000000001</v>
      </c>
      <c r="AF311" t="s">
        <v>182</v>
      </c>
      <c r="AG311" t="s">
        <v>185</v>
      </c>
      <c r="AI311" t="s">
        <v>186</v>
      </c>
      <c r="AJ311" t="s">
        <v>1113</v>
      </c>
      <c r="AK311" t="s">
        <v>188</v>
      </c>
    </row>
    <row r="312" spans="1:37" x14ac:dyDescent="0.3">
      <c r="A312">
        <v>8008</v>
      </c>
      <c r="B312" s="207">
        <v>46121</v>
      </c>
      <c r="C312" t="s">
        <v>438</v>
      </c>
      <c r="D312" t="s">
        <v>1114</v>
      </c>
      <c r="E312" t="s">
        <v>1115</v>
      </c>
      <c r="F312" s="207">
        <v>47361</v>
      </c>
      <c r="G312">
        <v>2.5</v>
      </c>
      <c r="H312">
        <v>27097</v>
      </c>
      <c r="I312">
        <v>26352789</v>
      </c>
      <c r="J312">
        <v>3.5609999999999999</v>
      </c>
      <c r="K312">
        <v>10046</v>
      </c>
      <c r="L312">
        <v>27221645</v>
      </c>
      <c r="M312">
        <v>-228847</v>
      </c>
      <c r="N312">
        <v>1097703</v>
      </c>
      <c r="O312">
        <v>188201</v>
      </c>
      <c r="P312">
        <v>824294</v>
      </c>
      <c r="Q312">
        <v>85208</v>
      </c>
      <c r="S312">
        <v>0</v>
      </c>
      <c r="T312">
        <v>141740</v>
      </c>
      <c r="U312">
        <v>14170</v>
      </c>
      <c r="V312">
        <v>3.3936000000000002</v>
      </c>
      <c r="W312">
        <v>3.2787333332999999</v>
      </c>
      <c r="X312">
        <v>13.8414</v>
      </c>
      <c r="Z312">
        <v>10045.07</v>
      </c>
      <c r="AB312">
        <v>10049.43</v>
      </c>
      <c r="AD312">
        <v>10044.74</v>
      </c>
      <c r="AF312" t="s">
        <v>182</v>
      </c>
      <c r="AG312" t="s">
        <v>185</v>
      </c>
      <c r="AI312" t="s">
        <v>186</v>
      </c>
      <c r="AJ312" t="s">
        <v>1116</v>
      </c>
      <c r="AK312" t="s">
        <v>188</v>
      </c>
    </row>
    <row r="313" spans="1:37" x14ac:dyDescent="0.3">
      <c r="A313">
        <v>8008</v>
      </c>
      <c r="B313" s="207">
        <v>46121</v>
      </c>
      <c r="C313" t="s">
        <v>438</v>
      </c>
      <c r="D313" t="s">
        <v>1117</v>
      </c>
      <c r="E313" t="s">
        <v>1118</v>
      </c>
      <c r="F313" s="207">
        <v>46142</v>
      </c>
      <c r="G313">
        <v>1.05</v>
      </c>
      <c r="H313">
        <v>11075</v>
      </c>
      <c r="I313">
        <v>11018162</v>
      </c>
      <c r="J313">
        <v>2.637</v>
      </c>
      <c r="K313">
        <v>10520</v>
      </c>
      <c r="L313">
        <v>11650900</v>
      </c>
      <c r="M313">
        <v>45639</v>
      </c>
      <c r="N313">
        <v>587099</v>
      </c>
      <c r="O313">
        <v>32994</v>
      </c>
      <c r="P313">
        <v>306246</v>
      </c>
      <c r="Q313">
        <v>247859</v>
      </c>
      <c r="S313">
        <v>0</v>
      </c>
      <c r="T313">
        <v>47480</v>
      </c>
      <c r="U313">
        <v>4740</v>
      </c>
      <c r="V313">
        <v>5.57E-2</v>
      </c>
      <c r="W313">
        <v>5.4699999999999999E-2</v>
      </c>
      <c r="X313">
        <v>3.9533333300000001E-2</v>
      </c>
      <c r="Z313">
        <v>10520.55</v>
      </c>
      <c r="AB313">
        <v>10521.14</v>
      </c>
      <c r="AD313">
        <v>10520.83</v>
      </c>
      <c r="AF313" t="s">
        <v>182</v>
      </c>
      <c r="AG313" t="s">
        <v>185</v>
      </c>
      <c r="AI313" t="s">
        <v>186</v>
      </c>
      <c r="AJ313" t="s">
        <v>1119</v>
      </c>
      <c r="AK313" t="s">
        <v>188</v>
      </c>
    </row>
    <row r="314" spans="1:37" x14ac:dyDescent="0.3">
      <c r="A314">
        <v>8008</v>
      </c>
      <c r="B314" s="207">
        <v>46121</v>
      </c>
      <c r="C314" t="s">
        <v>438</v>
      </c>
      <c r="D314" t="s">
        <v>1120</v>
      </c>
      <c r="E314" t="s">
        <v>1121</v>
      </c>
      <c r="F314" s="207">
        <v>46173</v>
      </c>
      <c r="G314">
        <v>1.05</v>
      </c>
      <c r="H314">
        <v>15640</v>
      </c>
      <c r="I314">
        <v>15538324</v>
      </c>
      <c r="J314">
        <v>2.661</v>
      </c>
      <c r="K314">
        <v>10497</v>
      </c>
      <c r="L314">
        <v>16417307</v>
      </c>
      <c r="M314">
        <v>64492</v>
      </c>
      <c r="N314">
        <v>814491</v>
      </c>
      <c r="O314">
        <v>46551</v>
      </c>
      <c r="P314">
        <v>349598</v>
      </c>
      <c r="Q314">
        <v>418342</v>
      </c>
      <c r="S314">
        <v>0</v>
      </c>
      <c r="T314">
        <v>55440</v>
      </c>
      <c r="U314">
        <v>5530</v>
      </c>
      <c r="V314">
        <v>0.1406333333</v>
      </c>
      <c r="W314">
        <v>0.13800000000000001</v>
      </c>
      <c r="X314">
        <v>0.1147666666</v>
      </c>
      <c r="Z314">
        <v>10496.69</v>
      </c>
      <c r="AB314">
        <v>10497.5</v>
      </c>
      <c r="AD314">
        <v>10496.83</v>
      </c>
      <c r="AF314" t="s">
        <v>182</v>
      </c>
      <c r="AG314" t="s">
        <v>185</v>
      </c>
      <c r="AI314" t="s">
        <v>186</v>
      </c>
      <c r="AJ314" t="s">
        <v>1122</v>
      </c>
      <c r="AK314" t="s">
        <v>188</v>
      </c>
    </row>
    <row r="315" spans="1:37" x14ac:dyDescent="0.3">
      <c r="A315">
        <v>8008</v>
      </c>
      <c r="B315" s="207">
        <v>46121</v>
      </c>
      <c r="C315" t="s">
        <v>438</v>
      </c>
      <c r="D315" t="s">
        <v>1123</v>
      </c>
      <c r="E315" t="s">
        <v>1124</v>
      </c>
      <c r="F315" s="207">
        <v>46203</v>
      </c>
      <c r="G315">
        <v>1.05</v>
      </c>
      <c r="H315">
        <v>32500</v>
      </c>
      <c r="I315">
        <v>32246474</v>
      </c>
      <c r="J315">
        <v>2.69</v>
      </c>
      <c r="K315">
        <v>10473</v>
      </c>
      <c r="L315">
        <v>34037249</v>
      </c>
      <c r="M315">
        <v>127599</v>
      </c>
      <c r="N315">
        <v>1663176</v>
      </c>
      <c r="O315">
        <v>96650</v>
      </c>
      <c r="P315">
        <v>63102</v>
      </c>
      <c r="Q315">
        <v>1503424</v>
      </c>
      <c r="S315">
        <v>0</v>
      </c>
      <c r="T315">
        <v>22350</v>
      </c>
      <c r="U315">
        <v>2220</v>
      </c>
      <c r="V315">
        <v>0.22283333329999999</v>
      </c>
      <c r="W315">
        <v>0.2185</v>
      </c>
      <c r="X315">
        <v>0.2051</v>
      </c>
      <c r="Z315">
        <v>10473.31</v>
      </c>
      <c r="AB315">
        <v>10474.17</v>
      </c>
      <c r="AD315">
        <v>10473.06</v>
      </c>
      <c r="AF315" t="s">
        <v>182</v>
      </c>
      <c r="AG315" t="s">
        <v>185</v>
      </c>
      <c r="AI315" t="s">
        <v>186</v>
      </c>
      <c r="AJ315" t="s">
        <v>1125</v>
      </c>
      <c r="AK315" t="s">
        <v>188</v>
      </c>
    </row>
    <row r="316" spans="1:37" x14ac:dyDescent="0.3">
      <c r="A316">
        <v>8008</v>
      </c>
      <c r="B316" s="207">
        <v>46121</v>
      </c>
      <c r="C316" t="s">
        <v>438</v>
      </c>
      <c r="D316" t="s">
        <v>1126</v>
      </c>
      <c r="E316" t="s">
        <v>1127</v>
      </c>
      <c r="F316" s="207">
        <v>46234</v>
      </c>
      <c r="G316">
        <v>1.05</v>
      </c>
      <c r="H316">
        <v>16810</v>
      </c>
      <c r="I316">
        <v>16649633</v>
      </c>
      <c r="J316">
        <v>2.7320000000000002</v>
      </c>
      <c r="K316">
        <v>10448</v>
      </c>
      <c r="L316">
        <v>17563088</v>
      </c>
      <c r="M316">
        <v>68879</v>
      </c>
      <c r="N316">
        <v>844576</v>
      </c>
      <c r="O316">
        <v>49343</v>
      </c>
      <c r="P316">
        <v>350987</v>
      </c>
      <c r="Q316">
        <v>444246</v>
      </c>
      <c r="S316">
        <v>0</v>
      </c>
      <c r="T316">
        <v>56020</v>
      </c>
      <c r="U316">
        <v>5580</v>
      </c>
      <c r="V316">
        <v>0.30773333330000002</v>
      </c>
      <c r="W316">
        <v>0.30143333329999999</v>
      </c>
      <c r="X316">
        <v>0.31636666660000001</v>
      </c>
      <c r="Z316">
        <v>10447.86</v>
      </c>
      <c r="AB316">
        <v>10449.280000000001</v>
      </c>
      <c r="AD316">
        <v>10448.15</v>
      </c>
      <c r="AF316" t="s">
        <v>182</v>
      </c>
      <c r="AG316" t="s">
        <v>185</v>
      </c>
      <c r="AI316" t="s">
        <v>186</v>
      </c>
      <c r="AJ316" t="s">
        <v>1128</v>
      </c>
      <c r="AK316" t="s">
        <v>188</v>
      </c>
    </row>
    <row r="317" spans="1:37" x14ac:dyDescent="0.3">
      <c r="A317">
        <v>8008</v>
      </c>
      <c r="B317" s="207">
        <v>46121</v>
      </c>
      <c r="C317" t="s">
        <v>438</v>
      </c>
      <c r="D317" t="s">
        <v>1129</v>
      </c>
      <c r="E317" t="s">
        <v>1130</v>
      </c>
      <c r="F317" s="207">
        <v>46265</v>
      </c>
      <c r="G317">
        <v>1.05</v>
      </c>
      <c r="H317">
        <v>5962</v>
      </c>
      <c r="I317">
        <v>5898548</v>
      </c>
      <c r="J317">
        <v>2.7730000000000001</v>
      </c>
      <c r="K317">
        <v>10422</v>
      </c>
      <c r="L317">
        <v>6213596</v>
      </c>
      <c r="M317">
        <v>21056</v>
      </c>
      <c r="N317">
        <v>293992</v>
      </c>
      <c r="O317">
        <v>17698</v>
      </c>
      <c r="P317">
        <v>125607</v>
      </c>
      <c r="Q317">
        <v>150687</v>
      </c>
      <c r="S317">
        <v>0</v>
      </c>
      <c r="T317">
        <v>20040</v>
      </c>
      <c r="U317">
        <v>1990</v>
      </c>
      <c r="V317">
        <v>0.39269999999999999</v>
      </c>
      <c r="W317">
        <v>0.38419999999999999</v>
      </c>
      <c r="X317">
        <v>0.44579999999999997</v>
      </c>
      <c r="Z317">
        <v>10421.75</v>
      </c>
      <c r="AB317">
        <v>10423.59</v>
      </c>
      <c r="AD317">
        <v>10423.040000000001</v>
      </c>
      <c r="AF317" t="s">
        <v>182</v>
      </c>
      <c r="AG317" t="s">
        <v>185</v>
      </c>
      <c r="AI317" t="s">
        <v>186</v>
      </c>
      <c r="AJ317" t="s">
        <v>1131</v>
      </c>
      <c r="AK317" t="s">
        <v>188</v>
      </c>
    </row>
    <row r="318" spans="1:37" x14ac:dyDescent="0.3">
      <c r="A318">
        <v>8008</v>
      </c>
      <c r="B318" s="207">
        <v>46121</v>
      </c>
      <c r="C318" t="s">
        <v>438</v>
      </c>
      <c r="D318" t="s">
        <v>1132</v>
      </c>
      <c r="E318" t="s">
        <v>1133</v>
      </c>
      <c r="F318" s="207">
        <v>46295</v>
      </c>
      <c r="G318">
        <v>1.05</v>
      </c>
      <c r="H318">
        <v>74475</v>
      </c>
      <c r="I318">
        <v>73570517</v>
      </c>
      <c r="J318">
        <v>2.81</v>
      </c>
      <c r="K318">
        <v>10397</v>
      </c>
      <c r="L318">
        <v>77431656</v>
      </c>
      <c r="M318">
        <v>255744</v>
      </c>
      <c r="N318">
        <v>3605395</v>
      </c>
      <c r="O318">
        <v>220896</v>
      </c>
      <c r="P318">
        <v>2943382</v>
      </c>
      <c r="Q318">
        <v>441117</v>
      </c>
      <c r="S318">
        <v>0</v>
      </c>
      <c r="T318">
        <v>442980</v>
      </c>
      <c r="U318">
        <v>44280</v>
      </c>
      <c r="V318">
        <v>0.47489999999999999</v>
      </c>
      <c r="W318">
        <v>0.4641666666</v>
      </c>
      <c r="X318">
        <v>0.58816666660000005</v>
      </c>
      <c r="Z318">
        <v>10396.25</v>
      </c>
      <c r="AB318">
        <v>10398.09</v>
      </c>
      <c r="AD318">
        <v>10398.34</v>
      </c>
      <c r="AF318" t="s">
        <v>182</v>
      </c>
      <c r="AG318" t="s">
        <v>185</v>
      </c>
      <c r="AI318" t="s">
        <v>186</v>
      </c>
      <c r="AJ318" t="s">
        <v>1134</v>
      </c>
      <c r="AK318" t="s">
        <v>188</v>
      </c>
    </row>
    <row r="319" spans="1:37" x14ac:dyDescent="0.3">
      <c r="A319">
        <v>8008</v>
      </c>
      <c r="B319" s="207">
        <v>46121</v>
      </c>
      <c r="C319" t="s">
        <v>438</v>
      </c>
      <c r="D319" t="s">
        <v>1135</v>
      </c>
      <c r="E319" t="s">
        <v>1136</v>
      </c>
      <c r="F319" s="207">
        <v>46904</v>
      </c>
      <c r="G319">
        <v>2.5</v>
      </c>
      <c r="H319">
        <v>67035</v>
      </c>
      <c r="I319">
        <v>66122121</v>
      </c>
      <c r="J319">
        <v>3.3180000000000001</v>
      </c>
      <c r="K319">
        <v>10550</v>
      </c>
      <c r="L319">
        <v>70721925</v>
      </c>
      <c r="M319">
        <v>-305919</v>
      </c>
      <c r="N319">
        <v>4905723</v>
      </c>
      <c r="O319">
        <v>480210</v>
      </c>
      <c r="P319">
        <v>3013628</v>
      </c>
      <c r="Q319">
        <v>1411885</v>
      </c>
      <c r="S319">
        <v>0</v>
      </c>
      <c r="T319">
        <v>489120</v>
      </c>
      <c r="U319">
        <v>48900</v>
      </c>
      <c r="V319">
        <v>2.1415666666000002</v>
      </c>
      <c r="W319">
        <v>2.0731666666000002</v>
      </c>
      <c r="X319">
        <v>6.2661666666000002</v>
      </c>
      <c r="Z319">
        <v>10547.66</v>
      </c>
      <c r="AB319">
        <v>10554.08</v>
      </c>
      <c r="AD319">
        <v>10548.53</v>
      </c>
      <c r="AF319" t="s">
        <v>182</v>
      </c>
      <c r="AG319" t="s">
        <v>185</v>
      </c>
      <c r="AI319" t="s">
        <v>186</v>
      </c>
      <c r="AJ319" t="s">
        <v>1137</v>
      </c>
      <c r="AK319" t="s">
        <v>188</v>
      </c>
    </row>
    <row r="320" spans="1:37" x14ac:dyDescent="0.3">
      <c r="A320">
        <v>8008</v>
      </c>
      <c r="B320" s="207">
        <v>46121</v>
      </c>
      <c r="C320" t="s">
        <v>438</v>
      </c>
      <c r="D320" t="s">
        <v>1138</v>
      </c>
      <c r="E320" t="s">
        <v>1139</v>
      </c>
      <c r="F320" s="207">
        <v>46965</v>
      </c>
      <c r="G320">
        <v>2.5</v>
      </c>
      <c r="H320">
        <v>20235</v>
      </c>
      <c r="I320">
        <v>19920795</v>
      </c>
      <c r="J320">
        <v>3.3410000000000002</v>
      </c>
      <c r="K320">
        <v>10486</v>
      </c>
      <c r="L320">
        <v>21218421</v>
      </c>
      <c r="M320">
        <v>-93770</v>
      </c>
      <c r="N320">
        <v>1391396</v>
      </c>
      <c r="O320">
        <v>144358</v>
      </c>
      <c r="P320">
        <v>880569</v>
      </c>
      <c r="Q320">
        <v>366469</v>
      </c>
      <c r="S320">
        <v>0</v>
      </c>
      <c r="T320">
        <v>143470</v>
      </c>
      <c r="U320">
        <v>14330</v>
      </c>
      <c r="V320">
        <v>2.3086666666000002</v>
      </c>
      <c r="W320">
        <v>2.2354333333</v>
      </c>
      <c r="X320">
        <v>7.0929333333000004</v>
      </c>
      <c r="Z320">
        <v>10485.34</v>
      </c>
      <c r="AB320">
        <v>10490.35</v>
      </c>
      <c r="AD320">
        <v>10484.4</v>
      </c>
      <c r="AF320" t="s">
        <v>182</v>
      </c>
      <c r="AG320" t="s">
        <v>185</v>
      </c>
      <c r="AI320" t="s">
        <v>186</v>
      </c>
      <c r="AJ320" t="s">
        <v>1140</v>
      </c>
      <c r="AK320" t="s">
        <v>188</v>
      </c>
    </row>
    <row r="321" spans="1:37" x14ac:dyDescent="0.3">
      <c r="A321">
        <v>8008</v>
      </c>
      <c r="B321" s="207">
        <v>46121</v>
      </c>
      <c r="C321" t="s">
        <v>438</v>
      </c>
      <c r="D321" t="s">
        <v>1141</v>
      </c>
      <c r="E321" t="s">
        <v>1142</v>
      </c>
      <c r="F321" s="207">
        <v>47118</v>
      </c>
      <c r="G321">
        <v>2.5</v>
      </c>
      <c r="H321">
        <v>27977</v>
      </c>
      <c r="I321">
        <v>27400784</v>
      </c>
      <c r="J321">
        <v>3.4550000000000001</v>
      </c>
      <c r="K321">
        <v>10312</v>
      </c>
      <c r="L321">
        <v>28849882</v>
      </c>
      <c r="M321">
        <v>-166759</v>
      </c>
      <c r="N321">
        <v>1615857</v>
      </c>
      <c r="O321">
        <v>197534</v>
      </c>
      <c r="P321">
        <v>961355</v>
      </c>
      <c r="Q321">
        <v>456968</v>
      </c>
      <c r="S321">
        <v>0</v>
      </c>
      <c r="T321">
        <v>162230</v>
      </c>
      <c r="U321">
        <v>16220</v>
      </c>
      <c r="V321">
        <v>2.7278666666000002</v>
      </c>
      <c r="W321">
        <v>2.6379999999999999</v>
      </c>
      <c r="X321">
        <v>9.4481333332999995</v>
      </c>
      <c r="Z321">
        <v>10310.89</v>
      </c>
      <c r="AB321">
        <v>10315.32</v>
      </c>
      <c r="AD321">
        <v>10310.620000000001</v>
      </c>
      <c r="AF321" t="s">
        <v>182</v>
      </c>
      <c r="AG321" t="s">
        <v>185</v>
      </c>
      <c r="AI321" t="s">
        <v>186</v>
      </c>
      <c r="AJ321" t="s">
        <v>1143</v>
      </c>
      <c r="AK321" t="s">
        <v>188</v>
      </c>
    </row>
    <row r="322" spans="1:37" x14ac:dyDescent="0.3">
      <c r="A322">
        <v>8008</v>
      </c>
      <c r="B322" s="207">
        <v>46121</v>
      </c>
      <c r="C322" t="s">
        <v>438</v>
      </c>
      <c r="D322" t="s">
        <v>1144</v>
      </c>
      <c r="E322" t="s">
        <v>1145</v>
      </c>
      <c r="F322" s="207">
        <v>47361</v>
      </c>
      <c r="G322">
        <v>2.5</v>
      </c>
      <c r="H322">
        <v>26003</v>
      </c>
      <c r="I322">
        <v>25288836</v>
      </c>
      <c r="J322">
        <v>3.5609999999999999</v>
      </c>
      <c r="K322">
        <v>10046</v>
      </c>
      <c r="L322">
        <v>26122613</v>
      </c>
      <c r="M322">
        <v>-219606</v>
      </c>
      <c r="N322">
        <v>1053383</v>
      </c>
      <c r="O322">
        <v>180602</v>
      </c>
      <c r="P322">
        <v>781032</v>
      </c>
      <c r="Q322">
        <v>91749</v>
      </c>
      <c r="S322">
        <v>0</v>
      </c>
      <c r="T322">
        <v>134610</v>
      </c>
      <c r="U322">
        <v>13440</v>
      </c>
      <c r="V322">
        <v>3.3936000000000002</v>
      </c>
      <c r="W322">
        <v>3.2787333332999999</v>
      </c>
      <c r="X322">
        <v>13.8414</v>
      </c>
      <c r="Z322">
        <v>10045.07</v>
      </c>
      <c r="AB322">
        <v>10049.43</v>
      </c>
      <c r="AD322">
        <v>10044.74</v>
      </c>
      <c r="AF322" t="s">
        <v>182</v>
      </c>
      <c r="AG322" t="s">
        <v>185</v>
      </c>
      <c r="AI322" t="s">
        <v>186</v>
      </c>
      <c r="AJ322" t="s">
        <v>1146</v>
      </c>
      <c r="AK322" t="s">
        <v>188</v>
      </c>
    </row>
    <row r="323" spans="1:37" x14ac:dyDescent="0.3">
      <c r="A323">
        <v>8008</v>
      </c>
      <c r="B323" s="207">
        <v>46121</v>
      </c>
      <c r="C323" t="s">
        <v>438</v>
      </c>
      <c r="D323" t="s">
        <v>1147</v>
      </c>
      <c r="E323" t="s">
        <v>1148</v>
      </c>
      <c r="F323" s="207">
        <v>47452</v>
      </c>
      <c r="G323">
        <v>2.5</v>
      </c>
      <c r="H323">
        <v>21282</v>
      </c>
      <c r="I323">
        <v>20643085</v>
      </c>
      <c r="J323">
        <v>3.5670000000000002</v>
      </c>
      <c r="K323">
        <v>9956</v>
      </c>
      <c r="L323">
        <v>21188358</v>
      </c>
      <c r="M323">
        <v>-180956</v>
      </c>
      <c r="N323">
        <v>726229</v>
      </c>
      <c r="O323">
        <v>146906</v>
      </c>
      <c r="P323">
        <v>318431</v>
      </c>
      <c r="Q323">
        <v>260892</v>
      </c>
      <c r="S323">
        <v>0</v>
      </c>
      <c r="T323">
        <v>65120</v>
      </c>
      <c r="U323">
        <v>6490</v>
      </c>
      <c r="V323">
        <v>3.6429</v>
      </c>
      <c r="W323">
        <v>3.5191333333000001</v>
      </c>
      <c r="X323">
        <v>15.711333333300001</v>
      </c>
      <c r="Z323">
        <v>9953.58</v>
      </c>
      <c r="AB323">
        <v>9962.07</v>
      </c>
      <c r="AD323">
        <v>9954.98</v>
      </c>
      <c r="AF323" t="s">
        <v>182</v>
      </c>
      <c r="AG323" t="s">
        <v>185</v>
      </c>
      <c r="AI323" t="s">
        <v>186</v>
      </c>
      <c r="AJ323" t="s">
        <v>1149</v>
      </c>
      <c r="AK323" t="s">
        <v>188</v>
      </c>
    </row>
    <row r="324" spans="1:37" x14ac:dyDescent="0.3">
      <c r="A324">
        <v>8008</v>
      </c>
      <c r="B324" s="207">
        <v>46121</v>
      </c>
      <c r="C324" t="s">
        <v>438</v>
      </c>
      <c r="D324" t="s">
        <v>1150</v>
      </c>
      <c r="E324" t="s">
        <v>1151</v>
      </c>
      <c r="F324" s="207">
        <v>47483</v>
      </c>
      <c r="G324">
        <v>2.5</v>
      </c>
      <c r="H324">
        <v>345180</v>
      </c>
      <c r="I324">
        <v>334524522</v>
      </c>
      <c r="J324">
        <v>3.57</v>
      </c>
      <c r="K324">
        <v>9926</v>
      </c>
      <c r="L324">
        <v>342625667</v>
      </c>
      <c r="M324">
        <v>-2930023</v>
      </c>
      <c r="N324">
        <v>11031168</v>
      </c>
      <c r="O324">
        <v>2377735</v>
      </c>
      <c r="P324">
        <v>5972882</v>
      </c>
      <c r="Q324">
        <v>2680551</v>
      </c>
      <c r="S324">
        <v>0</v>
      </c>
      <c r="T324">
        <v>1169060</v>
      </c>
      <c r="U324">
        <v>116870</v>
      </c>
      <c r="V324">
        <v>3.7278666666000002</v>
      </c>
      <c r="W324">
        <v>3.6006666666</v>
      </c>
      <c r="X324">
        <v>16.380533333300001</v>
      </c>
      <c r="Z324">
        <v>9921.9599999999991</v>
      </c>
      <c r="AB324">
        <v>9932.41</v>
      </c>
      <c r="AD324">
        <v>9924.82</v>
      </c>
      <c r="AF324" t="s">
        <v>182</v>
      </c>
      <c r="AG324" t="s">
        <v>185</v>
      </c>
      <c r="AI324" t="s">
        <v>186</v>
      </c>
      <c r="AJ324" t="s">
        <v>1152</v>
      </c>
      <c r="AK324" t="s">
        <v>188</v>
      </c>
    </row>
    <row r="325" spans="1:37" x14ac:dyDescent="0.3">
      <c r="A325">
        <v>8008</v>
      </c>
      <c r="B325" s="207">
        <v>46121</v>
      </c>
      <c r="C325" t="s">
        <v>438</v>
      </c>
      <c r="D325" t="s">
        <v>1153</v>
      </c>
      <c r="E325" t="s">
        <v>1154</v>
      </c>
      <c r="F325" s="207">
        <v>47514</v>
      </c>
      <c r="G325">
        <v>2.5</v>
      </c>
      <c r="H325">
        <v>12599</v>
      </c>
      <c r="I325">
        <v>12195557</v>
      </c>
      <c r="J325">
        <v>3.5739999999999998</v>
      </c>
      <c r="K325">
        <v>9895</v>
      </c>
      <c r="L325">
        <v>12466709</v>
      </c>
      <c r="M325">
        <v>-104243</v>
      </c>
      <c r="N325">
        <v>375395</v>
      </c>
      <c r="O325">
        <v>86604</v>
      </c>
      <c r="P325">
        <v>243806</v>
      </c>
      <c r="Q325">
        <v>44985</v>
      </c>
      <c r="S325">
        <v>0</v>
      </c>
      <c r="T325">
        <v>46240</v>
      </c>
      <c r="U325">
        <v>4600</v>
      </c>
      <c r="V325">
        <v>3.8128000000000002</v>
      </c>
      <c r="W325">
        <v>3.6819999999999999</v>
      </c>
      <c r="X325">
        <v>17.0657</v>
      </c>
      <c r="Z325">
        <v>9889.7000000000007</v>
      </c>
      <c r="AB325">
        <v>9902.9</v>
      </c>
      <c r="AD325">
        <v>9894.7999999999993</v>
      </c>
      <c r="AF325" t="s">
        <v>182</v>
      </c>
      <c r="AG325" t="s">
        <v>185</v>
      </c>
      <c r="AI325" t="s">
        <v>186</v>
      </c>
      <c r="AJ325" t="s">
        <v>1155</v>
      </c>
      <c r="AK325" t="s">
        <v>188</v>
      </c>
    </row>
    <row r="326" spans="1:37" x14ac:dyDescent="0.3">
      <c r="A326">
        <v>8008</v>
      </c>
      <c r="B326" s="207">
        <v>46121</v>
      </c>
      <c r="C326" t="s">
        <v>438</v>
      </c>
      <c r="D326" t="s">
        <v>1156</v>
      </c>
      <c r="E326" t="s">
        <v>1157</v>
      </c>
      <c r="F326" s="207">
        <v>46234</v>
      </c>
      <c r="G326">
        <v>1.05</v>
      </c>
      <c r="H326">
        <v>4738</v>
      </c>
      <c r="I326">
        <v>4694073</v>
      </c>
      <c r="J326">
        <v>2.7320000000000002</v>
      </c>
      <c r="K326">
        <v>10448</v>
      </c>
      <c r="L326">
        <v>4950262</v>
      </c>
      <c r="M326">
        <v>18140</v>
      </c>
      <c r="N326">
        <v>238049</v>
      </c>
      <c r="O326">
        <v>14078</v>
      </c>
      <c r="P326">
        <v>219765</v>
      </c>
      <c r="Q326">
        <v>4206</v>
      </c>
      <c r="S326">
        <v>0</v>
      </c>
      <c r="T326">
        <v>32730</v>
      </c>
      <c r="U326">
        <v>3270</v>
      </c>
      <c r="V326">
        <v>0.30773333330000002</v>
      </c>
      <c r="W326">
        <v>0.30143333329999999</v>
      </c>
      <c r="X326">
        <v>0.31636666660000001</v>
      </c>
      <c r="Z326">
        <v>10447.86</v>
      </c>
      <c r="AB326">
        <v>10449.280000000001</v>
      </c>
      <c r="AD326">
        <v>10448.15</v>
      </c>
      <c r="AF326" t="s">
        <v>182</v>
      </c>
      <c r="AG326" t="s">
        <v>185</v>
      </c>
      <c r="AI326" t="s">
        <v>186</v>
      </c>
      <c r="AJ326" t="s">
        <v>1158</v>
      </c>
      <c r="AK326" t="s">
        <v>188</v>
      </c>
    </row>
    <row r="327" spans="1:37" x14ac:dyDescent="0.3">
      <c r="A327">
        <v>8008</v>
      </c>
      <c r="B327" s="207">
        <v>46121</v>
      </c>
      <c r="C327" t="s">
        <v>438</v>
      </c>
      <c r="D327" t="s">
        <v>1159</v>
      </c>
      <c r="E327" t="s">
        <v>1160</v>
      </c>
      <c r="F327" s="207">
        <v>46507</v>
      </c>
      <c r="G327">
        <v>1.05</v>
      </c>
      <c r="H327">
        <v>17639</v>
      </c>
      <c r="I327">
        <v>17231162</v>
      </c>
      <c r="J327">
        <v>3.02</v>
      </c>
      <c r="K327">
        <v>10210</v>
      </c>
      <c r="L327">
        <v>18009419</v>
      </c>
      <c r="M327">
        <v>36193</v>
      </c>
      <c r="N327">
        <v>742064</v>
      </c>
      <c r="O327">
        <v>52001</v>
      </c>
      <c r="P327">
        <v>121808</v>
      </c>
      <c r="Q327">
        <v>568255</v>
      </c>
      <c r="S327">
        <v>0</v>
      </c>
      <c r="T327">
        <v>24330</v>
      </c>
      <c r="U327">
        <v>2430</v>
      </c>
      <c r="V327">
        <v>1.0557000000000001</v>
      </c>
      <c r="W327">
        <v>1.0252666666000001</v>
      </c>
      <c r="X327">
        <v>2.0296666665999998</v>
      </c>
      <c r="Z327">
        <v>10210.969999999999</v>
      </c>
      <c r="AB327">
        <v>10209.64</v>
      </c>
      <c r="AD327">
        <v>10210.030000000001</v>
      </c>
      <c r="AF327" t="s">
        <v>182</v>
      </c>
      <c r="AG327" t="s">
        <v>185</v>
      </c>
      <c r="AI327" t="s">
        <v>186</v>
      </c>
      <c r="AJ327" t="s">
        <v>1161</v>
      </c>
      <c r="AK327" t="s">
        <v>188</v>
      </c>
    </row>
    <row r="328" spans="1:37" x14ac:dyDescent="0.3">
      <c r="A328">
        <v>8008</v>
      </c>
      <c r="B328" s="207">
        <v>46121</v>
      </c>
      <c r="C328" t="s">
        <v>438</v>
      </c>
      <c r="D328" t="s">
        <v>1162</v>
      </c>
      <c r="E328" t="s">
        <v>1163</v>
      </c>
      <c r="F328" s="207">
        <v>46599</v>
      </c>
      <c r="G328">
        <v>1.05</v>
      </c>
      <c r="H328">
        <v>35665</v>
      </c>
      <c r="I328">
        <v>34648930</v>
      </c>
      <c r="J328">
        <v>3.1059999999999999</v>
      </c>
      <c r="K328">
        <v>10122</v>
      </c>
      <c r="L328">
        <v>36100113</v>
      </c>
      <c r="M328">
        <v>48493</v>
      </c>
      <c r="N328">
        <v>1402690</v>
      </c>
      <c r="O328">
        <v>104867</v>
      </c>
      <c r="P328">
        <v>798673</v>
      </c>
      <c r="Q328">
        <v>499150</v>
      </c>
      <c r="S328">
        <v>0</v>
      </c>
      <c r="T328">
        <v>126490</v>
      </c>
      <c r="U328">
        <v>12640</v>
      </c>
      <c r="V328">
        <v>1.3077333333000001</v>
      </c>
      <c r="W328">
        <v>1.2705</v>
      </c>
      <c r="X328">
        <v>2.7788333333000002</v>
      </c>
      <c r="Z328">
        <v>10121.36</v>
      </c>
      <c r="AB328">
        <v>10122.91</v>
      </c>
      <c r="AD328">
        <v>10122</v>
      </c>
      <c r="AF328" t="s">
        <v>182</v>
      </c>
      <c r="AG328" t="s">
        <v>185</v>
      </c>
      <c r="AI328" t="s">
        <v>186</v>
      </c>
      <c r="AJ328" t="s">
        <v>1164</v>
      </c>
      <c r="AK328" t="s">
        <v>188</v>
      </c>
    </row>
    <row r="329" spans="1:37" x14ac:dyDescent="0.3">
      <c r="A329">
        <v>8008</v>
      </c>
      <c r="B329" s="207">
        <v>46121</v>
      </c>
      <c r="C329" t="s">
        <v>438</v>
      </c>
      <c r="D329" t="s">
        <v>1165</v>
      </c>
      <c r="E329" t="s">
        <v>1166</v>
      </c>
      <c r="F329" s="207">
        <v>47057</v>
      </c>
      <c r="G329">
        <v>2.5</v>
      </c>
      <c r="H329">
        <v>7698</v>
      </c>
      <c r="I329">
        <v>7555272</v>
      </c>
      <c r="J329">
        <v>3.3929999999999998</v>
      </c>
      <c r="K329">
        <v>10386</v>
      </c>
      <c r="L329">
        <v>7995142</v>
      </c>
      <c r="M329">
        <v>-38412</v>
      </c>
      <c r="N329">
        <v>478282</v>
      </c>
      <c r="O329">
        <v>54577</v>
      </c>
      <c r="P329">
        <v>178232</v>
      </c>
      <c r="Q329">
        <v>245473</v>
      </c>
      <c r="S329">
        <v>0</v>
      </c>
      <c r="T329">
        <v>32590</v>
      </c>
      <c r="U329">
        <v>3250</v>
      </c>
      <c r="V329">
        <v>2.5607000000000002</v>
      </c>
      <c r="W329">
        <v>2.4784666666000001</v>
      </c>
      <c r="X329">
        <v>8.4631333333000001</v>
      </c>
      <c r="Z329">
        <v>10385.35</v>
      </c>
      <c r="AB329">
        <v>10390.07</v>
      </c>
      <c r="AD329">
        <v>10384.06</v>
      </c>
      <c r="AF329" t="s">
        <v>182</v>
      </c>
      <c r="AG329" t="s">
        <v>185</v>
      </c>
      <c r="AI329" t="s">
        <v>186</v>
      </c>
      <c r="AJ329" t="s">
        <v>1167</v>
      </c>
      <c r="AK329" t="s">
        <v>188</v>
      </c>
    </row>
    <row r="330" spans="1:37" x14ac:dyDescent="0.3">
      <c r="A330">
        <v>8008</v>
      </c>
      <c r="B330" s="207">
        <v>46121</v>
      </c>
      <c r="C330" t="s">
        <v>438</v>
      </c>
      <c r="D330" t="s">
        <v>1168</v>
      </c>
      <c r="E330" t="s">
        <v>1169</v>
      </c>
      <c r="F330" s="207">
        <v>47514</v>
      </c>
      <c r="G330">
        <v>2.5</v>
      </c>
      <c r="H330">
        <v>41026</v>
      </c>
      <c r="I330">
        <v>39712272</v>
      </c>
      <c r="J330">
        <v>3.5739999999999998</v>
      </c>
      <c r="K330">
        <v>9895</v>
      </c>
      <c r="L330">
        <v>40595227</v>
      </c>
      <c r="M330">
        <v>-339447</v>
      </c>
      <c r="N330">
        <v>1222402</v>
      </c>
      <c r="O330">
        <v>282012</v>
      </c>
      <c r="P330">
        <v>718251</v>
      </c>
      <c r="Q330">
        <v>222139</v>
      </c>
      <c r="S330">
        <v>0</v>
      </c>
      <c r="T330">
        <v>140030</v>
      </c>
      <c r="U330">
        <v>13990</v>
      </c>
      <c r="V330">
        <v>3.8128000000000002</v>
      </c>
      <c r="W330">
        <v>3.6819999999999999</v>
      </c>
      <c r="X330">
        <v>17.0657</v>
      </c>
      <c r="Z330">
        <v>9889.7000000000007</v>
      </c>
      <c r="AB330">
        <v>9902.9</v>
      </c>
      <c r="AD330">
        <v>9894.7999999999993</v>
      </c>
      <c r="AF330" t="s">
        <v>182</v>
      </c>
      <c r="AG330" t="s">
        <v>185</v>
      </c>
      <c r="AI330" t="s">
        <v>186</v>
      </c>
      <c r="AJ330" t="s">
        <v>1170</v>
      </c>
      <c r="AK330" t="s">
        <v>188</v>
      </c>
    </row>
    <row r="331" spans="1:37" x14ac:dyDescent="0.3">
      <c r="A331">
        <v>8008</v>
      </c>
      <c r="B331" s="207">
        <v>46121</v>
      </c>
      <c r="C331" t="s">
        <v>438</v>
      </c>
      <c r="D331" t="s">
        <v>1171</v>
      </c>
      <c r="E331" t="s">
        <v>1172</v>
      </c>
      <c r="F331" s="207">
        <v>47542</v>
      </c>
      <c r="G331">
        <v>2.5</v>
      </c>
      <c r="H331">
        <v>75522</v>
      </c>
      <c r="I331">
        <v>73015725</v>
      </c>
      <c r="J331">
        <v>3.577</v>
      </c>
      <c r="K331">
        <v>9868</v>
      </c>
      <c r="L331">
        <v>74525109</v>
      </c>
      <c r="M331">
        <v>-593674</v>
      </c>
      <c r="N331">
        <v>2103058</v>
      </c>
      <c r="O331">
        <v>518152</v>
      </c>
      <c r="P331">
        <v>1189252</v>
      </c>
      <c r="Q331">
        <v>395654</v>
      </c>
      <c r="S331">
        <v>0</v>
      </c>
      <c r="T331">
        <v>239030</v>
      </c>
      <c r="U331">
        <v>23890</v>
      </c>
      <c r="V331">
        <v>3.8895</v>
      </c>
      <c r="W331">
        <v>3.7553666666000001</v>
      </c>
      <c r="X331">
        <v>17.698599999999999</v>
      </c>
      <c r="Z331">
        <v>9861.08</v>
      </c>
      <c r="AB331">
        <v>9876.7199999999993</v>
      </c>
      <c r="AD331">
        <v>9867.75</v>
      </c>
      <c r="AF331" t="s">
        <v>182</v>
      </c>
      <c r="AG331" t="s">
        <v>185</v>
      </c>
      <c r="AI331" t="s">
        <v>186</v>
      </c>
      <c r="AJ331" t="s">
        <v>1173</v>
      </c>
      <c r="AK331" t="s">
        <v>188</v>
      </c>
    </row>
    <row r="332" spans="1:37" x14ac:dyDescent="0.3">
      <c r="A332">
        <v>8008</v>
      </c>
      <c r="B332" s="207">
        <v>46121</v>
      </c>
      <c r="C332" t="s">
        <v>438</v>
      </c>
      <c r="D332" t="s">
        <v>1174</v>
      </c>
      <c r="E332" t="s">
        <v>1175</v>
      </c>
      <c r="F332" s="207">
        <v>47634</v>
      </c>
      <c r="G332">
        <v>2.5</v>
      </c>
      <c r="H332">
        <v>80213</v>
      </c>
      <c r="I332">
        <v>77257052</v>
      </c>
      <c r="J332">
        <v>3.597</v>
      </c>
      <c r="K332">
        <v>9773</v>
      </c>
      <c r="L332">
        <v>78392164</v>
      </c>
      <c r="M332">
        <v>-587031</v>
      </c>
      <c r="N332">
        <v>1722143</v>
      </c>
      <c r="O332">
        <v>546924</v>
      </c>
      <c r="P332">
        <v>1015485</v>
      </c>
      <c r="Q332">
        <v>159734</v>
      </c>
      <c r="S332">
        <v>0</v>
      </c>
      <c r="T332">
        <v>218730</v>
      </c>
      <c r="U332">
        <v>21860</v>
      </c>
      <c r="V332">
        <v>4.1415666666000002</v>
      </c>
      <c r="W332">
        <v>3.9982333333</v>
      </c>
      <c r="X332">
        <v>19.807133333300001</v>
      </c>
      <c r="Z332">
        <v>9764.9</v>
      </c>
      <c r="AB332">
        <v>9781.7800000000007</v>
      </c>
      <c r="AD332">
        <v>9773.89</v>
      </c>
      <c r="AF332" t="s">
        <v>182</v>
      </c>
      <c r="AG332" t="s">
        <v>185</v>
      </c>
      <c r="AI332" t="s">
        <v>186</v>
      </c>
      <c r="AJ332" t="s">
        <v>1176</v>
      </c>
      <c r="AK332" t="s">
        <v>188</v>
      </c>
    </row>
    <row r="333" spans="1:37" x14ac:dyDescent="0.3">
      <c r="A333">
        <v>8008</v>
      </c>
      <c r="B333" s="207">
        <v>46121</v>
      </c>
      <c r="C333" t="s">
        <v>438</v>
      </c>
      <c r="D333" t="s">
        <v>1177</v>
      </c>
      <c r="E333" t="s">
        <v>1178</v>
      </c>
      <c r="F333" s="207">
        <v>47664</v>
      </c>
      <c r="G333">
        <v>2.5</v>
      </c>
      <c r="H333">
        <v>82005</v>
      </c>
      <c r="I333">
        <v>78889296</v>
      </c>
      <c r="J333">
        <v>3.6059999999999999</v>
      </c>
      <c r="K333">
        <v>9741</v>
      </c>
      <c r="L333">
        <v>79881070</v>
      </c>
      <c r="M333">
        <v>-599011</v>
      </c>
      <c r="N333">
        <v>1590785</v>
      </c>
      <c r="O333">
        <v>558008</v>
      </c>
      <c r="P333">
        <v>526378</v>
      </c>
      <c r="Q333">
        <v>506399</v>
      </c>
      <c r="S333">
        <v>0</v>
      </c>
      <c r="T333">
        <v>151810</v>
      </c>
      <c r="U333">
        <v>15180</v>
      </c>
      <c r="V333">
        <v>4.2237666666000004</v>
      </c>
      <c r="W333">
        <v>4.0778666666000003</v>
      </c>
      <c r="X333">
        <v>20.509933333300001</v>
      </c>
      <c r="Z333">
        <v>9732.91</v>
      </c>
      <c r="AB333">
        <v>9748.8799999999992</v>
      </c>
      <c r="AD333">
        <v>9742.0499999999993</v>
      </c>
      <c r="AF333" t="s">
        <v>182</v>
      </c>
      <c r="AG333" t="s">
        <v>185</v>
      </c>
      <c r="AI333" t="s">
        <v>186</v>
      </c>
      <c r="AJ333" t="s">
        <v>1179</v>
      </c>
      <c r="AK333" t="s">
        <v>188</v>
      </c>
    </row>
    <row r="334" spans="1:37" x14ac:dyDescent="0.3">
      <c r="A334">
        <v>8008</v>
      </c>
      <c r="B334" s="207">
        <v>46121</v>
      </c>
      <c r="C334" t="s">
        <v>438</v>
      </c>
      <c r="D334" t="s">
        <v>1180</v>
      </c>
      <c r="E334" t="s">
        <v>1181</v>
      </c>
      <c r="F334" s="207">
        <v>47695</v>
      </c>
      <c r="G334">
        <v>2.5</v>
      </c>
      <c r="H334">
        <v>6</v>
      </c>
      <c r="I334">
        <v>5765</v>
      </c>
      <c r="J334">
        <v>3.6160000000000001</v>
      </c>
      <c r="K334">
        <v>9707</v>
      </c>
      <c r="L334">
        <v>5824</v>
      </c>
      <c r="M334">
        <v>-44</v>
      </c>
      <c r="N334">
        <v>103</v>
      </c>
      <c r="O334">
        <v>86</v>
      </c>
      <c r="P334">
        <v>0</v>
      </c>
      <c r="Q334">
        <v>17</v>
      </c>
      <c r="S334">
        <v>0</v>
      </c>
      <c r="T334">
        <v>10</v>
      </c>
      <c r="U334">
        <v>0</v>
      </c>
      <c r="V334">
        <v>4.3086666665999998</v>
      </c>
      <c r="W334">
        <v>4.1598666666000002</v>
      </c>
      <c r="X334">
        <v>21.252233333300001</v>
      </c>
      <c r="Z334">
        <v>9699.2199999999993</v>
      </c>
      <c r="AB334">
        <v>9715.0499999999993</v>
      </c>
      <c r="AD334">
        <v>9708.91</v>
      </c>
      <c r="AF334" t="s">
        <v>182</v>
      </c>
      <c r="AG334" t="s">
        <v>185</v>
      </c>
      <c r="AI334" t="s">
        <v>186</v>
      </c>
      <c r="AJ334" t="s">
        <v>1182</v>
      </c>
      <c r="AK334" t="s">
        <v>188</v>
      </c>
    </row>
    <row r="335" spans="1:37" x14ac:dyDescent="0.3">
      <c r="A335">
        <v>8008</v>
      </c>
      <c r="B335" s="207">
        <v>46121</v>
      </c>
      <c r="C335" t="s">
        <v>438</v>
      </c>
      <c r="D335" t="s">
        <v>1183</v>
      </c>
      <c r="E335" t="s">
        <v>1184</v>
      </c>
      <c r="F335" s="207">
        <v>47726</v>
      </c>
      <c r="G335">
        <v>2.5</v>
      </c>
      <c r="H335">
        <v>21824</v>
      </c>
      <c r="I335">
        <v>20943278</v>
      </c>
      <c r="J335">
        <v>3.6240000000000001</v>
      </c>
      <c r="K335">
        <v>9674</v>
      </c>
      <c r="L335">
        <v>21112536</v>
      </c>
      <c r="M335">
        <v>-160978</v>
      </c>
      <c r="N335">
        <v>330236</v>
      </c>
      <c r="O335">
        <v>147882</v>
      </c>
      <c r="P335">
        <v>132997</v>
      </c>
      <c r="Q335">
        <v>49357</v>
      </c>
      <c r="S335">
        <v>0</v>
      </c>
      <c r="T335">
        <v>39310</v>
      </c>
      <c r="U335">
        <v>3920</v>
      </c>
      <c r="V335">
        <v>4.3936000000000002</v>
      </c>
      <c r="W335">
        <v>4.2417666666000002</v>
      </c>
      <c r="X335">
        <v>22.011633333300001</v>
      </c>
      <c r="Z335">
        <v>9667.6299999999992</v>
      </c>
      <c r="AB335">
        <v>9680.84</v>
      </c>
      <c r="AD335">
        <v>9676.25</v>
      </c>
      <c r="AF335" t="s">
        <v>182</v>
      </c>
      <c r="AG335" t="s">
        <v>185</v>
      </c>
      <c r="AI335" t="s">
        <v>186</v>
      </c>
      <c r="AJ335" t="s">
        <v>1185</v>
      </c>
      <c r="AK335" t="s">
        <v>188</v>
      </c>
    </row>
    <row r="336" spans="1:37" x14ac:dyDescent="0.3">
      <c r="A336">
        <v>8008</v>
      </c>
      <c r="B336" s="207">
        <v>46121</v>
      </c>
      <c r="C336" t="s">
        <v>438</v>
      </c>
      <c r="D336" t="s">
        <v>1186</v>
      </c>
      <c r="E336" t="s">
        <v>1187</v>
      </c>
      <c r="F336" s="207">
        <v>47756</v>
      </c>
      <c r="G336">
        <v>2.5</v>
      </c>
      <c r="H336">
        <v>38521</v>
      </c>
      <c r="I336">
        <v>36921940</v>
      </c>
      <c r="J336">
        <v>3.633</v>
      </c>
      <c r="K336">
        <v>9642</v>
      </c>
      <c r="L336">
        <v>37141948</v>
      </c>
      <c r="M336">
        <v>-283604</v>
      </c>
      <c r="N336">
        <v>503612</v>
      </c>
      <c r="O336">
        <v>260492</v>
      </c>
      <c r="P336">
        <v>162256</v>
      </c>
      <c r="Q336">
        <v>80864</v>
      </c>
      <c r="S336">
        <v>0</v>
      </c>
      <c r="T336">
        <v>59180</v>
      </c>
      <c r="U336">
        <v>5910</v>
      </c>
      <c r="V336">
        <v>4.4757999999999996</v>
      </c>
      <c r="W336">
        <v>4.3208666665999997</v>
      </c>
      <c r="X336">
        <v>22.7617666666</v>
      </c>
      <c r="Z336">
        <v>9636.26</v>
      </c>
      <c r="AB336">
        <v>9648.01</v>
      </c>
      <c r="AD336">
        <v>9644.6</v>
      </c>
      <c r="AF336" t="s">
        <v>182</v>
      </c>
      <c r="AG336" t="s">
        <v>185</v>
      </c>
      <c r="AI336" t="s">
        <v>186</v>
      </c>
      <c r="AJ336" t="s">
        <v>1188</v>
      </c>
      <c r="AK336" t="s">
        <v>188</v>
      </c>
    </row>
    <row r="337" spans="1:37" x14ac:dyDescent="0.3">
      <c r="A337">
        <v>8008</v>
      </c>
      <c r="B337" s="207">
        <v>46121</v>
      </c>
      <c r="C337" t="s">
        <v>438</v>
      </c>
      <c r="D337" t="s">
        <v>1189</v>
      </c>
      <c r="E337" t="s">
        <v>1190</v>
      </c>
      <c r="F337" s="207">
        <v>47787</v>
      </c>
      <c r="G337">
        <v>2</v>
      </c>
      <c r="H337">
        <v>94818</v>
      </c>
      <c r="I337">
        <v>88567107</v>
      </c>
      <c r="J337">
        <v>3.6419999999999999</v>
      </c>
      <c r="K337">
        <v>9377</v>
      </c>
      <c r="L337">
        <v>88910838</v>
      </c>
      <c r="M337">
        <v>-488118</v>
      </c>
      <c r="N337">
        <v>831849</v>
      </c>
      <c r="O337">
        <v>510354</v>
      </c>
      <c r="P337">
        <v>161635</v>
      </c>
      <c r="Q337">
        <v>159860</v>
      </c>
      <c r="S337">
        <v>0</v>
      </c>
      <c r="T337">
        <v>94070</v>
      </c>
      <c r="U337">
        <v>9400</v>
      </c>
      <c r="V337">
        <v>4.5606999999999998</v>
      </c>
      <c r="W337">
        <v>4.4024333333000003</v>
      </c>
      <c r="X337">
        <v>23.5527666666</v>
      </c>
      <c r="Z337">
        <v>9371.44</v>
      </c>
      <c r="AB337">
        <v>9381.6299999999992</v>
      </c>
      <c r="AD337">
        <v>9379.2900000000009</v>
      </c>
      <c r="AF337" t="s">
        <v>182</v>
      </c>
      <c r="AG337" t="s">
        <v>185</v>
      </c>
      <c r="AI337" t="s">
        <v>186</v>
      </c>
      <c r="AJ337" t="s">
        <v>1191</v>
      </c>
      <c r="AK337" t="s">
        <v>188</v>
      </c>
    </row>
    <row r="338" spans="1:37" x14ac:dyDescent="0.3">
      <c r="A338">
        <v>8008</v>
      </c>
      <c r="B338" s="207">
        <v>46121</v>
      </c>
      <c r="C338" t="s">
        <v>438</v>
      </c>
      <c r="D338" t="s">
        <v>1192</v>
      </c>
      <c r="E338" t="s">
        <v>1193</v>
      </c>
      <c r="F338" s="207">
        <v>47817</v>
      </c>
      <c r="G338">
        <v>2</v>
      </c>
      <c r="H338">
        <v>61340</v>
      </c>
      <c r="I338">
        <v>57246314</v>
      </c>
      <c r="J338">
        <v>3.6509999999999998</v>
      </c>
      <c r="K338">
        <v>9345</v>
      </c>
      <c r="L338">
        <v>57322230</v>
      </c>
      <c r="M338">
        <v>-361595</v>
      </c>
      <c r="N338">
        <v>437511</v>
      </c>
      <c r="O338">
        <v>330925</v>
      </c>
      <c r="P338">
        <v>6671</v>
      </c>
      <c r="Q338">
        <v>99915</v>
      </c>
      <c r="S338">
        <v>0</v>
      </c>
      <c r="T338">
        <v>47260</v>
      </c>
      <c r="U338">
        <v>4720</v>
      </c>
      <c r="V338">
        <v>4.6429</v>
      </c>
      <c r="W338">
        <v>4.4810999999999996</v>
      </c>
      <c r="X338">
        <v>24.332899999999999</v>
      </c>
      <c r="Z338">
        <v>9339.73</v>
      </c>
      <c r="AB338">
        <v>9349.64</v>
      </c>
      <c r="AD338">
        <v>9348.5400000000009</v>
      </c>
      <c r="AF338" t="s">
        <v>182</v>
      </c>
      <c r="AG338" t="s">
        <v>185</v>
      </c>
      <c r="AI338" t="s">
        <v>186</v>
      </c>
      <c r="AJ338" t="s">
        <v>1194</v>
      </c>
      <c r="AK338" t="s">
        <v>188</v>
      </c>
    </row>
    <row r="339" spans="1:37" x14ac:dyDescent="0.3">
      <c r="A339">
        <v>8008</v>
      </c>
      <c r="B339" s="207">
        <v>46121</v>
      </c>
      <c r="C339" t="s">
        <v>438</v>
      </c>
      <c r="D339" t="s">
        <v>1195</v>
      </c>
      <c r="E339" t="s">
        <v>1196</v>
      </c>
      <c r="F339" s="207">
        <v>47848</v>
      </c>
      <c r="G339">
        <v>2</v>
      </c>
      <c r="H339">
        <v>25477</v>
      </c>
      <c r="I339">
        <v>23531837</v>
      </c>
      <c r="J339">
        <v>3.661</v>
      </c>
      <c r="K339">
        <v>9313</v>
      </c>
      <c r="L339">
        <v>23726730</v>
      </c>
      <c r="M339">
        <v>56296</v>
      </c>
      <c r="N339">
        <v>138597</v>
      </c>
      <c r="O339">
        <v>97097</v>
      </c>
      <c r="P339">
        <v>0</v>
      </c>
      <c r="Q339">
        <v>41500</v>
      </c>
      <c r="S339">
        <v>0</v>
      </c>
      <c r="T339">
        <v>13590</v>
      </c>
      <c r="U339">
        <v>1350</v>
      </c>
      <c r="V339">
        <v>4.7278666665999998</v>
      </c>
      <c r="W339">
        <v>4.5622333333</v>
      </c>
      <c r="X339">
        <v>25.154666666600001</v>
      </c>
      <c r="Z339">
        <v>9307.58</v>
      </c>
      <c r="AB339">
        <v>9316.77</v>
      </c>
      <c r="AD339">
        <v>9316.51</v>
      </c>
      <c r="AF339" t="s">
        <v>182</v>
      </c>
      <c r="AG339" t="s">
        <v>185</v>
      </c>
      <c r="AI339" t="s">
        <v>186</v>
      </c>
      <c r="AJ339" t="s">
        <v>1197</v>
      </c>
      <c r="AK339" t="s">
        <v>188</v>
      </c>
    </row>
    <row r="340" spans="1:37" x14ac:dyDescent="0.3">
      <c r="A340">
        <v>8008</v>
      </c>
      <c r="B340" s="207">
        <v>46121</v>
      </c>
      <c r="C340" t="s">
        <v>438</v>
      </c>
      <c r="D340" t="s">
        <v>1198</v>
      </c>
      <c r="E340" t="s">
        <v>1199</v>
      </c>
      <c r="F340" s="207">
        <v>47879</v>
      </c>
      <c r="G340">
        <v>2</v>
      </c>
      <c r="H340">
        <v>38581</v>
      </c>
      <c r="I340">
        <v>35727336</v>
      </c>
      <c r="J340">
        <v>3.6709999999999998</v>
      </c>
      <c r="K340">
        <v>9281</v>
      </c>
      <c r="L340">
        <v>35807026</v>
      </c>
      <c r="M340">
        <v>-65009</v>
      </c>
      <c r="N340">
        <v>144699</v>
      </c>
      <c r="O340">
        <v>88171</v>
      </c>
      <c r="P340">
        <v>0</v>
      </c>
      <c r="Q340">
        <v>56528</v>
      </c>
      <c r="S340">
        <v>0</v>
      </c>
      <c r="T340">
        <v>12340</v>
      </c>
      <c r="U340">
        <v>1230</v>
      </c>
      <c r="V340">
        <v>4.8128000000000002</v>
      </c>
      <c r="W340">
        <v>4.6432000000000002</v>
      </c>
      <c r="X340">
        <v>25.9916666666</v>
      </c>
      <c r="Z340">
        <v>9274.6299999999992</v>
      </c>
      <c r="AB340">
        <v>9283.5</v>
      </c>
      <c r="AD340">
        <v>9284.98</v>
      </c>
      <c r="AF340" t="s">
        <v>182</v>
      </c>
      <c r="AG340" t="s">
        <v>185</v>
      </c>
      <c r="AI340" t="s">
        <v>186</v>
      </c>
      <c r="AJ340" t="s">
        <v>1200</v>
      </c>
      <c r="AK340" t="s">
        <v>188</v>
      </c>
    </row>
    <row r="341" spans="1:37" x14ac:dyDescent="0.3">
      <c r="A341">
        <v>8008</v>
      </c>
      <c r="B341" s="207">
        <v>46121</v>
      </c>
      <c r="C341" t="s">
        <v>438</v>
      </c>
      <c r="D341" t="s">
        <v>1201</v>
      </c>
      <c r="E341" t="s">
        <v>1202</v>
      </c>
      <c r="F341" s="207">
        <v>47907</v>
      </c>
      <c r="G341">
        <v>2</v>
      </c>
      <c r="H341">
        <v>69974</v>
      </c>
      <c r="I341">
        <v>63416331</v>
      </c>
      <c r="J341">
        <v>3.681</v>
      </c>
      <c r="K341">
        <v>9251</v>
      </c>
      <c r="L341">
        <v>64732947</v>
      </c>
      <c r="M341">
        <v>1160793</v>
      </c>
      <c r="N341">
        <v>155823</v>
      </c>
      <c r="O341">
        <v>40761</v>
      </c>
      <c r="P341">
        <v>0</v>
      </c>
      <c r="Q341">
        <v>115062</v>
      </c>
      <c r="S341">
        <v>0</v>
      </c>
      <c r="T341">
        <v>5700</v>
      </c>
      <c r="U341">
        <v>560</v>
      </c>
      <c r="V341">
        <v>4.8895</v>
      </c>
      <c r="W341">
        <v>4.7161333333000002</v>
      </c>
      <c r="X341">
        <v>26.7605333333</v>
      </c>
      <c r="Z341">
        <v>9244</v>
      </c>
      <c r="AB341">
        <v>9253.84</v>
      </c>
      <c r="AD341">
        <v>9256.2199999999993</v>
      </c>
      <c r="AF341" t="s">
        <v>182</v>
      </c>
      <c r="AG341" t="s">
        <v>185</v>
      </c>
      <c r="AI341" t="s">
        <v>186</v>
      </c>
      <c r="AJ341" t="s">
        <v>1203</v>
      </c>
      <c r="AK341" t="s">
        <v>188</v>
      </c>
    </row>
    <row r="342" spans="1:37" x14ac:dyDescent="0.3">
      <c r="A342">
        <v>8008</v>
      </c>
      <c r="B342" s="207">
        <v>46121</v>
      </c>
      <c r="C342" t="s">
        <v>438</v>
      </c>
      <c r="D342" t="s">
        <v>1204</v>
      </c>
      <c r="E342" t="s">
        <v>1205</v>
      </c>
      <c r="F342" s="207">
        <v>47938</v>
      </c>
      <c r="G342">
        <v>2</v>
      </c>
      <c r="H342">
        <v>323482</v>
      </c>
      <c r="I342">
        <v>294015752</v>
      </c>
      <c r="J342">
        <v>3.6920000000000002</v>
      </c>
      <c r="K342">
        <v>9218</v>
      </c>
      <c r="L342">
        <v>298185706</v>
      </c>
      <c r="M342">
        <v>3994408</v>
      </c>
      <c r="N342">
        <v>175546</v>
      </c>
      <c r="O342">
        <v>135205</v>
      </c>
      <c r="P342">
        <v>0</v>
      </c>
      <c r="Q342">
        <v>40341</v>
      </c>
      <c r="S342">
        <v>0</v>
      </c>
      <c r="T342">
        <v>18910</v>
      </c>
      <c r="U342">
        <v>1860</v>
      </c>
      <c r="V342">
        <v>4.9744000000000002</v>
      </c>
      <c r="W342">
        <v>4.7967333332999997</v>
      </c>
      <c r="X342">
        <v>27.626300000000001</v>
      </c>
      <c r="Z342">
        <v>9210.68</v>
      </c>
      <c r="AB342">
        <v>9220.19</v>
      </c>
      <c r="AD342">
        <v>9224.82</v>
      </c>
      <c r="AF342" t="s">
        <v>182</v>
      </c>
      <c r="AG342" t="s">
        <v>185</v>
      </c>
      <c r="AI342" t="s">
        <v>186</v>
      </c>
      <c r="AJ342" t="s">
        <v>1206</v>
      </c>
      <c r="AK342" t="s">
        <v>188</v>
      </c>
    </row>
    <row r="343" spans="1:37" x14ac:dyDescent="0.3">
      <c r="A343">
        <v>8008</v>
      </c>
      <c r="B343" s="207">
        <v>46121</v>
      </c>
      <c r="C343" t="s">
        <v>438</v>
      </c>
      <c r="D343" t="s">
        <v>1207</v>
      </c>
      <c r="E343" t="s">
        <v>1208</v>
      </c>
      <c r="F343" s="207">
        <v>47968</v>
      </c>
      <c r="G343">
        <v>2</v>
      </c>
      <c r="H343">
        <v>146682</v>
      </c>
      <c r="I343">
        <v>133417265</v>
      </c>
      <c r="J343">
        <v>3.7010000000000001</v>
      </c>
      <c r="K343">
        <v>9187</v>
      </c>
      <c r="L343">
        <v>134756752</v>
      </c>
      <c r="M343">
        <v>1339487</v>
      </c>
      <c r="N343">
        <v>0</v>
      </c>
      <c r="O343">
        <v>0</v>
      </c>
      <c r="P343">
        <v>0</v>
      </c>
      <c r="Q343">
        <v>0</v>
      </c>
      <c r="S343">
        <v>0</v>
      </c>
      <c r="T343">
        <v>0</v>
      </c>
      <c r="U343">
        <v>0</v>
      </c>
      <c r="V343">
        <v>5.0566000000000004</v>
      </c>
      <c r="W343">
        <v>4.8758666666000003</v>
      </c>
      <c r="X343">
        <v>28.459566666600001</v>
      </c>
      <c r="Z343">
        <v>9177.61</v>
      </c>
      <c r="AB343">
        <v>9189.0300000000007</v>
      </c>
      <c r="AD343">
        <v>9195.08</v>
      </c>
      <c r="AF343" t="s">
        <v>182</v>
      </c>
      <c r="AG343" t="s">
        <v>185</v>
      </c>
      <c r="AI343" t="s">
        <v>186</v>
      </c>
      <c r="AJ343" t="s">
        <v>1209</v>
      </c>
      <c r="AK343" t="s">
        <v>188</v>
      </c>
    </row>
    <row r="344" spans="1:37" x14ac:dyDescent="0.3">
      <c r="A344">
        <v>8008</v>
      </c>
      <c r="B344" s="207">
        <v>46121</v>
      </c>
      <c r="C344" t="s">
        <v>438</v>
      </c>
      <c r="D344" t="s">
        <v>1210</v>
      </c>
      <c r="E344" t="s">
        <v>1211</v>
      </c>
      <c r="F344" s="207">
        <v>46326</v>
      </c>
      <c r="G344">
        <v>1.05</v>
      </c>
      <c r="H344">
        <v>11422</v>
      </c>
      <c r="I344">
        <v>11267602</v>
      </c>
      <c r="J344">
        <v>2.835</v>
      </c>
      <c r="K344">
        <v>10371</v>
      </c>
      <c r="L344">
        <v>11845754</v>
      </c>
      <c r="M344">
        <v>35824</v>
      </c>
      <c r="N344">
        <v>542328</v>
      </c>
      <c r="O344">
        <v>33848</v>
      </c>
      <c r="P344">
        <v>378999</v>
      </c>
      <c r="Q344">
        <v>129481</v>
      </c>
      <c r="S344">
        <v>0</v>
      </c>
      <c r="T344">
        <v>57780</v>
      </c>
      <c r="U344">
        <v>5770</v>
      </c>
      <c r="V344">
        <v>0.55979999999999996</v>
      </c>
      <c r="W344">
        <v>0.54663333329999997</v>
      </c>
      <c r="X344">
        <v>0.75286666660000001</v>
      </c>
      <c r="Z344">
        <v>10370.69</v>
      </c>
      <c r="AB344">
        <v>10372.08</v>
      </c>
      <c r="AD344">
        <v>10372.34</v>
      </c>
      <c r="AF344" t="s">
        <v>182</v>
      </c>
      <c r="AG344" t="s">
        <v>185</v>
      </c>
      <c r="AI344" t="s">
        <v>186</v>
      </c>
      <c r="AJ344" t="s">
        <v>1212</v>
      </c>
      <c r="AK344" t="s">
        <v>188</v>
      </c>
    </row>
    <row r="345" spans="1:37" x14ac:dyDescent="0.3">
      <c r="A345">
        <v>8008</v>
      </c>
      <c r="B345" s="207">
        <v>46121</v>
      </c>
      <c r="C345" t="s">
        <v>438</v>
      </c>
      <c r="D345" t="s">
        <v>1213</v>
      </c>
      <c r="E345" t="s">
        <v>1214</v>
      </c>
      <c r="F345" s="207">
        <v>46356</v>
      </c>
      <c r="G345">
        <v>1.05</v>
      </c>
      <c r="H345">
        <v>9852</v>
      </c>
      <c r="I345">
        <v>9704010</v>
      </c>
      <c r="J345">
        <v>2.8540000000000001</v>
      </c>
      <c r="K345">
        <v>10346</v>
      </c>
      <c r="L345">
        <v>10192879</v>
      </c>
      <c r="M345">
        <v>29942</v>
      </c>
      <c r="N345">
        <v>458927</v>
      </c>
      <c r="O345">
        <v>29170</v>
      </c>
      <c r="P345">
        <v>274814</v>
      </c>
      <c r="Q345">
        <v>154943</v>
      </c>
      <c r="S345">
        <v>0</v>
      </c>
      <c r="T345">
        <v>42540</v>
      </c>
      <c r="U345">
        <v>4230</v>
      </c>
      <c r="V345">
        <v>0.64200000000000002</v>
      </c>
      <c r="W345">
        <v>0.62626666659999997</v>
      </c>
      <c r="X345">
        <v>0.92920000000000003</v>
      </c>
      <c r="Z345">
        <v>10346.290000000001</v>
      </c>
      <c r="AB345">
        <v>10347.15</v>
      </c>
      <c r="AD345">
        <v>10346.75</v>
      </c>
      <c r="AF345" t="s">
        <v>182</v>
      </c>
      <c r="AG345" t="s">
        <v>185</v>
      </c>
      <c r="AI345" t="s">
        <v>186</v>
      </c>
      <c r="AJ345" t="s">
        <v>1215</v>
      </c>
      <c r="AK345" t="s">
        <v>188</v>
      </c>
    </row>
    <row r="346" spans="1:37" x14ac:dyDescent="0.3">
      <c r="A346">
        <v>8008</v>
      </c>
      <c r="B346" s="207">
        <v>46121</v>
      </c>
      <c r="C346" t="s">
        <v>438</v>
      </c>
      <c r="D346" t="s">
        <v>1216</v>
      </c>
      <c r="E346" t="s">
        <v>1217</v>
      </c>
      <c r="F346" s="207">
        <v>46387</v>
      </c>
      <c r="G346">
        <v>1.05</v>
      </c>
      <c r="H346">
        <v>675</v>
      </c>
      <c r="I346">
        <v>663866</v>
      </c>
      <c r="J346">
        <v>2.879</v>
      </c>
      <c r="K346">
        <v>10320</v>
      </c>
      <c r="L346">
        <v>696600</v>
      </c>
      <c r="M346">
        <v>1918</v>
      </c>
      <c r="N346">
        <v>30816</v>
      </c>
      <c r="O346">
        <v>1997</v>
      </c>
      <c r="P346">
        <v>1308</v>
      </c>
      <c r="Q346">
        <v>27511</v>
      </c>
      <c r="S346">
        <v>0</v>
      </c>
      <c r="T346">
        <v>460</v>
      </c>
      <c r="U346">
        <v>40</v>
      </c>
      <c r="V346">
        <v>0.72693333329999998</v>
      </c>
      <c r="W346">
        <v>0.70840000000000003</v>
      </c>
      <c r="X346">
        <v>1.1285666666</v>
      </c>
      <c r="Z346">
        <v>10319.76</v>
      </c>
      <c r="AB346">
        <v>10321.15</v>
      </c>
      <c r="AD346">
        <v>10319.91</v>
      </c>
      <c r="AF346" t="s">
        <v>182</v>
      </c>
      <c r="AG346" t="s">
        <v>185</v>
      </c>
      <c r="AI346" t="s">
        <v>186</v>
      </c>
      <c r="AJ346" t="s">
        <v>1218</v>
      </c>
      <c r="AK346" t="s">
        <v>188</v>
      </c>
    </row>
    <row r="347" spans="1:37" x14ac:dyDescent="0.3">
      <c r="A347">
        <v>8008</v>
      </c>
      <c r="B347" s="207">
        <v>46121</v>
      </c>
      <c r="C347" t="s">
        <v>438</v>
      </c>
      <c r="D347" t="s">
        <v>1219</v>
      </c>
      <c r="E347" t="s">
        <v>1220</v>
      </c>
      <c r="F347" s="207">
        <v>46418</v>
      </c>
      <c r="G347">
        <v>1.05</v>
      </c>
      <c r="H347">
        <v>20455</v>
      </c>
      <c r="I347">
        <v>20083306</v>
      </c>
      <c r="J347">
        <v>2.915</v>
      </c>
      <c r="K347">
        <v>10292</v>
      </c>
      <c r="L347">
        <v>21052286</v>
      </c>
      <c r="M347">
        <v>54090</v>
      </c>
      <c r="N347">
        <v>914890</v>
      </c>
      <c r="O347">
        <v>60458</v>
      </c>
      <c r="P347">
        <v>56852</v>
      </c>
      <c r="Q347">
        <v>797580</v>
      </c>
      <c r="S347">
        <v>0</v>
      </c>
      <c r="T347">
        <v>16420</v>
      </c>
      <c r="U347">
        <v>1640</v>
      </c>
      <c r="V347">
        <v>0.81189999999999996</v>
      </c>
      <c r="W347">
        <v>0.7903</v>
      </c>
      <c r="X347">
        <v>1.3450666666</v>
      </c>
      <c r="Z347">
        <v>10292.44</v>
      </c>
      <c r="AB347">
        <v>10293.469999999999</v>
      </c>
      <c r="AD347">
        <v>10292.27</v>
      </c>
      <c r="AF347" t="s">
        <v>182</v>
      </c>
      <c r="AG347" t="s">
        <v>185</v>
      </c>
      <c r="AI347" t="s">
        <v>186</v>
      </c>
      <c r="AJ347" t="s">
        <v>1221</v>
      </c>
      <c r="AK347" t="s">
        <v>188</v>
      </c>
    </row>
    <row r="348" spans="1:37" x14ac:dyDescent="0.3">
      <c r="A348">
        <v>8008</v>
      </c>
      <c r="B348" s="207">
        <v>46121</v>
      </c>
      <c r="C348" t="s">
        <v>438</v>
      </c>
      <c r="D348" t="s">
        <v>1222</v>
      </c>
      <c r="E348" t="s">
        <v>1223</v>
      </c>
      <c r="F348" s="207">
        <v>46507</v>
      </c>
      <c r="G348">
        <v>1.05</v>
      </c>
      <c r="H348">
        <v>1952</v>
      </c>
      <c r="I348">
        <v>1906869</v>
      </c>
      <c r="J348">
        <v>3.02</v>
      </c>
      <c r="K348">
        <v>10210</v>
      </c>
      <c r="L348">
        <v>1992992</v>
      </c>
      <c r="M348">
        <v>4006</v>
      </c>
      <c r="N348">
        <v>82117</v>
      </c>
      <c r="O348">
        <v>5754</v>
      </c>
      <c r="P348">
        <v>35835</v>
      </c>
      <c r="Q348">
        <v>40528</v>
      </c>
      <c r="S348">
        <v>0</v>
      </c>
      <c r="T348">
        <v>5810</v>
      </c>
      <c r="U348">
        <v>560</v>
      </c>
      <c r="V348">
        <v>1.0557000000000001</v>
      </c>
      <c r="W348">
        <v>1.0252666666000001</v>
      </c>
      <c r="X348">
        <v>2.0296666665999998</v>
      </c>
      <c r="Z348">
        <v>10210.969999999999</v>
      </c>
      <c r="AB348">
        <v>10209.64</v>
      </c>
      <c r="AD348">
        <v>10210.030000000001</v>
      </c>
      <c r="AF348" t="s">
        <v>182</v>
      </c>
      <c r="AG348" t="s">
        <v>185</v>
      </c>
      <c r="AI348" t="s">
        <v>186</v>
      </c>
      <c r="AJ348" t="s">
        <v>1224</v>
      </c>
      <c r="AK348" t="s">
        <v>188</v>
      </c>
    </row>
    <row r="349" spans="1:37" x14ac:dyDescent="0.3">
      <c r="A349">
        <v>8008</v>
      </c>
      <c r="B349" s="207">
        <v>46121</v>
      </c>
      <c r="C349" t="s">
        <v>438</v>
      </c>
      <c r="D349" t="s">
        <v>1225</v>
      </c>
      <c r="E349" t="s">
        <v>1226</v>
      </c>
      <c r="F349" s="207">
        <v>46538</v>
      </c>
      <c r="G349">
        <v>1.05</v>
      </c>
      <c r="H349">
        <v>30436</v>
      </c>
      <c r="I349">
        <v>29678142</v>
      </c>
      <c r="J349">
        <v>3.0489999999999999</v>
      </c>
      <c r="K349">
        <v>10180</v>
      </c>
      <c r="L349">
        <v>30983848</v>
      </c>
      <c r="M349">
        <v>53404</v>
      </c>
      <c r="N349">
        <v>1252302</v>
      </c>
      <c r="O349">
        <v>89647</v>
      </c>
      <c r="P349">
        <v>587225</v>
      </c>
      <c r="Q349">
        <v>575430</v>
      </c>
      <c r="S349">
        <v>0</v>
      </c>
      <c r="T349">
        <v>94740</v>
      </c>
      <c r="U349">
        <v>9460</v>
      </c>
      <c r="V349">
        <v>1.1406333333000001</v>
      </c>
      <c r="W349">
        <v>1.1080666666000001</v>
      </c>
      <c r="X349">
        <v>2.2645333333000002</v>
      </c>
      <c r="Z349">
        <v>10181.450000000001</v>
      </c>
      <c r="AB349">
        <v>10180.68</v>
      </c>
      <c r="AD349">
        <v>10180.66</v>
      </c>
      <c r="AF349" t="s">
        <v>182</v>
      </c>
      <c r="AG349" t="s">
        <v>185</v>
      </c>
      <c r="AI349" t="s">
        <v>186</v>
      </c>
      <c r="AJ349" t="s">
        <v>1227</v>
      </c>
      <c r="AK349" t="s">
        <v>188</v>
      </c>
    </row>
    <row r="350" spans="1:37" x14ac:dyDescent="0.3">
      <c r="A350">
        <v>8008</v>
      </c>
      <c r="B350" s="207">
        <v>46121</v>
      </c>
      <c r="C350" t="s">
        <v>438</v>
      </c>
      <c r="D350" t="s">
        <v>1228</v>
      </c>
      <c r="E350" t="s">
        <v>1229</v>
      </c>
      <c r="F350" s="207">
        <v>46568</v>
      </c>
      <c r="G350">
        <v>1.05</v>
      </c>
      <c r="H350">
        <v>2</v>
      </c>
      <c r="I350">
        <v>1947</v>
      </c>
      <c r="J350">
        <v>3.0779999999999998</v>
      </c>
      <c r="K350">
        <v>10152</v>
      </c>
      <c r="L350">
        <v>2030</v>
      </c>
      <c r="M350">
        <v>3</v>
      </c>
      <c r="N350">
        <v>80</v>
      </c>
      <c r="O350">
        <v>9</v>
      </c>
      <c r="P350">
        <v>0</v>
      </c>
      <c r="Q350">
        <v>71</v>
      </c>
      <c r="S350">
        <v>0</v>
      </c>
      <c r="T350">
        <v>0</v>
      </c>
      <c r="U350">
        <v>0</v>
      </c>
      <c r="V350">
        <v>1.2228333333000001</v>
      </c>
      <c r="W350">
        <v>1.1880333332999999</v>
      </c>
      <c r="X350">
        <v>2.5088333333000001</v>
      </c>
      <c r="Z350">
        <v>10151.92</v>
      </c>
      <c r="AB350">
        <v>10152.41</v>
      </c>
      <c r="AD350">
        <v>10151.92</v>
      </c>
      <c r="AF350" t="s">
        <v>182</v>
      </c>
      <c r="AG350" t="s">
        <v>185</v>
      </c>
      <c r="AI350" t="s">
        <v>186</v>
      </c>
      <c r="AJ350" t="s">
        <v>1230</v>
      </c>
      <c r="AK350" t="s">
        <v>188</v>
      </c>
    </row>
    <row r="351" spans="1:37" x14ac:dyDescent="0.3">
      <c r="A351">
        <v>8008</v>
      </c>
      <c r="B351" s="207">
        <v>46121</v>
      </c>
      <c r="C351" t="s">
        <v>438</v>
      </c>
      <c r="D351" t="s">
        <v>1231</v>
      </c>
      <c r="E351" t="s">
        <v>1232</v>
      </c>
      <c r="F351" s="207">
        <v>46599</v>
      </c>
      <c r="G351">
        <v>1.05</v>
      </c>
      <c r="H351">
        <v>13429</v>
      </c>
      <c r="I351">
        <v>13046419</v>
      </c>
      <c r="J351">
        <v>3.1059999999999999</v>
      </c>
      <c r="K351">
        <v>10122</v>
      </c>
      <c r="L351">
        <v>13592833</v>
      </c>
      <c r="M351">
        <v>18258</v>
      </c>
      <c r="N351">
        <v>528156</v>
      </c>
      <c r="O351">
        <v>39486</v>
      </c>
      <c r="P351">
        <v>302437</v>
      </c>
      <c r="Q351">
        <v>186233</v>
      </c>
      <c r="S351">
        <v>0</v>
      </c>
      <c r="T351">
        <v>47850</v>
      </c>
      <c r="U351">
        <v>4770</v>
      </c>
      <c r="V351">
        <v>1.3077333333000001</v>
      </c>
      <c r="W351">
        <v>1.2705</v>
      </c>
      <c r="X351">
        <v>2.7788333333000002</v>
      </c>
      <c r="Z351">
        <v>10121.36</v>
      </c>
      <c r="AB351">
        <v>10122.91</v>
      </c>
      <c r="AD351">
        <v>10122</v>
      </c>
      <c r="AF351" t="s">
        <v>182</v>
      </c>
      <c r="AG351" t="s">
        <v>185</v>
      </c>
      <c r="AI351" t="s">
        <v>186</v>
      </c>
      <c r="AJ351" t="s">
        <v>1233</v>
      </c>
      <c r="AK351" t="s">
        <v>188</v>
      </c>
    </row>
    <row r="352" spans="1:37" x14ac:dyDescent="0.3">
      <c r="A352">
        <v>8008</v>
      </c>
      <c r="B352" s="207">
        <v>46121</v>
      </c>
      <c r="C352" t="s">
        <v>438</v>
      </c>
      <c r="D352" t="s">
        <v>1234</v>
      </c>
      <c r="E352" t="s">
        <v>1235</v>
      </c>
      <c r="F352" s="207">
        <v>46630</v>
      </c>
      <c r="G352">
        <v>1.05</v>
      </c>
      <c r="H352">
        <v>650</v>
      </c>
      <c r="I352">
        <v>630390</v>
      </c>
      <c r="J352">
        <v>3.1349999999999998</v>
      </c>
      <c r="K352">
        <v>10091</v>
      </c>
      <c r="L352">
        <v>655915</v>
      </c>
      <c r="M352">
        <v>560</v>
      </c>
      <c r="N352">
        <v>24965</v>
      </c>
      <c r="O352">
        <v>1910</v>
      </c>
      <c r="P352">
        <v>1251</v>
      </c>
      <c r="Q352">
        <v>21804</v>
      </c>
      <c r="S352">
        <v>0</v>
      </c>
      <c r="T352">
        <v>440</v>
      </c>
      <c r="U352">
        <v>40</v>
      </c>
      <c r="V352">
        <v>1.3927</v>
      </c>
      <c r="W352">
        <v>1.3527333333</v>
      </c>
      <c r="X352">
        <v>3.0663666666</v>
      </c>
      <c r="Z352">
        <v>10090.549999999999</v>
      </c>
      <c r="AB352">
        <v>10093.290000000001</v>
      </c>
      <c r="AD352">
        <v>10091.64</v>
      </c>
      <c r="AF352" t="s">
        <v>182</v>
      </c>
      <c r="AG352" t="s">
        <v>185</v>
      </c>
      <c r="AI352" t="s">
        <v>186</v>
      </c>
      <c r="AJ352" t="s">
        <v>1236</v>
      </c>
      <c r="AK352" t="s">
        <v>188</v>
      </c>
    </row>
    <row r="353" spans="1:37" x14ac:dyDescent="0.3">
      <c r="A353">
        <v>8008</v>
      </c>
      <c r="B353" s="207">
        <v>46121</v>
      </c>
      <c r="C353" t="s">
        <v>438</v>
      </c>
      <c r="D353" t="s">
        <v>1237</v>
      </c>
      <c r="E353" t="s">
        <v>1238</v>
      </c>
      <c r="F353" s="207">
        <v>46660</v>
      </c>
      <c r="G353">
        <v>1.05</v>
      </c>
      <c r="H353">
        <v>36776</v>
      </c>
      <c r="I353">
        <v>35603521</v>
      </c>
      <c r="J353">
        <v>3.16</v>
      </c>
      <c r="K353">
        <v>10062</v>
      </c>
      <c r="L353">
        <v>37004011</v>
      </c>
      <c r="M353">
        <v>20770</v>
      </c>
      <c r="N353">
        <v>1379720</v>
      </c>
      <c r="O353">
        <v>107947</v>
      </c>
      <c r="P353">
        <v>1198776</v>
      </c>
      <c r="Q353">
        <v>72997</v>
      </c>
      <c r="S353">
        <v>0</v>
      </c>
      <c r="T353">
        <v>182930</v>
      </c>
      <c r="U353">
        <v>18270</v>
      </c>
      <c r="V353">
        <v>1.4749000000000001</v>
      </c>
      <c r="W353">
        <v>1.4322333332999999</v>
      </c>
      <c r="X353">
        <v>3.3613</v>
      </c>
      <c r="Z353">
        <v>10061.24</v>
      </c>
      <c r="AB353">
        <v>10064.27</v>
      </c>
      <c r="AD353">
        <v>10061.969999999999</v>
      </c>
      <c r="AF353" t="s">
        <v>182</v>
      </c>
      <c r="AG353" t="s">
        <v>185</v>
      </c>
      <c r="AI353" t="s">
        <v>186</v>
      </c>
      <c r="AJ353" t="s">
        <v>1239</v>
      </c>
      <c r="AK353" t="s">
        <v>188</v>
      </c>
    </row>
    <row r="354" spans="1:37" x14ac:dyDescent="0.3">
      <c r="A354">
        <v>8008</v>
      </c>
      <c r="B354" s="207">
        <v>46121</v>
      </c>
      <c r="C354" t="s">
        <v>438</v>
      </c>
      <c r="D354" t="s">
        <v>1240</v>
      </c>
      <c r="E354" t="s">
        <v>1241</v>
      </c>
      <c r="F354" s="207">
        <v>46691</v>
      </c>
      <c r="G354">
        <v>1.05</v>
      </c>
      <c r="H354">
        <v>2</v>
      </c>
      <c r="I354">
        <v>1933</v>
      </c>
      <c r="J354">
        <v>3.1850000000000001</v>
      </c>
      <c r="K354">
        <v>10032</v>
      </c>
      <c r="L354">
        <v>2006</v>
      </c>
      <c r="M354">
        <v>0</v>
      </c>
      <c r="N354">
        <v>73</v>
      </c>
      <c r="O354">
        <v>9</v>
      </c>
      <c r="P354">
        <v>0</v>
      </c>
      <c r="Q354">
        <v>64</v>
      </c>
      <c r="S354">
        <v>0</v>
      </c>
      <c r="T354">
        <v>0</v>
      </c>
      <c r="U354">
        <v>0</v>
      </c>
      <c r="V354">
        <v>1.5598000000000001</v>
      </c>
      <c r="W354">
        <v>1.5141333333</v>
      </c>
      <c r="X354">
        <v>3.6831666666</v>
      </c>
      <c r="Z354">
        <v>10030.370000000001</v>
      </c>
      <c r="AB354">
        <v>10034.459999999999</v>
      </c>
      <c r="AD354">
        <v>10031.74</v>
      </c>
      <c r="AF354" t="s">
        <v>182</v>
      </c>
      <c r="AG354" t="s">
        <v>185</v>
      </c>
      <c r="AI354" t="s">
        <v>186</v>
      </c>
      <c r="AJ354" t="s">
        <v>1242</v>
      </c>
      <c r="AK354" t="s">
        <v>188</v>
      </c>
    </row>
    <row r="355" spans="1:37" x14ac:dyDescent="0.3">
      <c r="A355">
        <v>8008</v>
      </c>
      <c r="B355" s="207">
        <v>46121</v>
      </c>
      <c r="C355" t="s">
        <v>438</v>
      </c>
      <c r="D355" t="s">
        <v>1243</v>
      </c>
      <c r="E355" t="s">
        <v>1244</v>
      </c>
      <c r="F355" s="207">
        <v>46783</v>
      </c>
      <c r="G355">
        <v>2.5</v>
      </c>
      <c r="H355">
        <v>6361</v>
      </c>
      <c r="I355">
        <v>6299254</v>
      </c>
      <c r="J355">
        <v>3.25</v>
      </c>
      <c r="K355">
        <v>10676</v>
      </c>
      <c r="L355">
        <v>6791003</v>
      </c>
      <c r="M355">
        <v>-29401</v>
      </c>
      <c r="N355">
        <v>521150</v>
      </c>
      <c r="O355">
        <v>45939</v>
      </c>
      <c r="P355">
        <v>189004</v>
      </c>
      <c r="Q355">
        <v>286207</v>
      </c>
      <c r="S355">
        <v>0</v>
      </c>
      <c r="T355">
        <v>32880</v>
      </c>
      <c r="U355">
        <v>3280</v>
      </c>
      <c r="V355">
        <v>1.8119000000000001</v>
      </c>
      <c r="W355">
        <v>1.7564333333</v>
      </c>
      <c r="X355">
        <v>4.7390333333000001</v>
      </c>
      <c r="Z355">
        <v>10673.66</v>
      </c>
      <c r="AB355">
        <v>10680.12</v>
      </c>
      <c r="AD355">
        <v>10675.72</v>
      </c>
      <c r="AF355" t="s">
        <v>182</v>
      </c>
      <c r="AG355" t="s">
        <v>185</v>
      </c>
      <c r="AI355" t="s">
        <v>186</v>
      </c>
      <c r="AJ355" t="s">
        <v>1245</v>
      </c>
      <c r="AK355" t="s">
        <v>188</v>
      </c>
    </row>
    <row r="356" spans="1:37" x14ac:dyDescent="0.3">
      <c r="A356">
        <v>8008</v>
      </c>
      <c r="B356" s="207">
        <v>46121</v>
      </c>
      <c r="C356" t="s">
        <v>438</v>
      </c>
      <c r="D356" t="s">
        <v>1246</v>
      </c>
      <c r="E356" t="s">
        <v>1247</v>
      </c>
      <c r="F356" s="207">
        <v>46812</v>
      </c>
      <c r="G356">
        <v>2.5</v>
      </c>
      <c r="H356">
        <v>17808</v>
      </c>
      <c r="I356">
        <v>17619711</v>
      </c>
      <c r="J356">
        <v>3.2709999999999999</v>
      </c>
      <c r="K356">
        <v>10646</v>
      </c>
      <c r="L356">
        <v>18958395</v>
      </c>
      <c r="M356">
        <v>-83847</v>
      </c>
      <c r="N356">
        <v>1422531</v>
      </c>
      <c r="O356">
        <v>128366</v>
      </c>
      <c r="P356">
        <v>810821</v>
      </c>
      <c r="Q356">
        <v>483344</v>
      </c>
      <c r="S356">
        <v>0</v>
      </c>
      <c r="T356">
        <v>131460</v>
      </c>
      <c r="U356">
        <v>13130</v>
      </c>
      <c r="V356">
        <v>1.8895</v>
      </c>
      <c r="W356">
        <v>1.8297666666000001</v>
      </c>
      <c r="X356">
        <v>5.0894666665999999</v>
      </c>
      <c r="Z356">
        <v>10643</v>
      </c>
      <c r="AB356">
        <v>10650.68</v>
      </c>
      <c r="AD356">
        <v>10645.73</v>
      </c>
      <c r="AF356" t="s">
        <v>182</v>
      </c>
      <c r="AG356" t="s">
        <v>185</v>
      </c>
      <c r="AI356" t="s">
        <v>186</v>
      </c>
      <c r="AJ356" t="s">
        <v>1248</v>
      </c>
      <c r="AK356" t="s">
        <v>188</v>
      </c>
    </row>
    <row r="357" spans="1:37" x14ac:dyDescent="0.3">
      <c r="A357">
        <v>8008</v>
      </c>
      <c r="B357" s="207">
        <v>46121</v>
      </c>
      <c r="C357" t="s">
        <v>438</v>
      </c>
      <c r="D357" t="s">
        <v>1249</v>
      </c>
      <c r="E357" t="s">
        <v>1250</v>
      </c>
      <c r="F357" s="207">
        <v>46843</v>
      </c>
      <c r="G357">
        <v>2.5</v>
      </c>
      <c r="H357">
        <v>28079</v>
      </c>
      <c r="I357">
        <v>27752549</v>
      </c>
      <c r="J357">
        <v>3.29</v>
      </c>
      <c r="K357">
        <v>10613</v>
      </c>
      <c r="L357">
        <v>29800242</v>
      </c>
      <c r="M357">
        <v>-131781</v>
      </c>
      <c r="N357">
        <v>2179474</v>
      </c>
      <c r="O357">
        <v>201978</v>
      </c>
      <c r="P357">
        <v>1394802</v>
      </c>
      <c r="Q357">
        <v>582694</v>
      </c>
      <c r="S357">
        <v>0</v>
      </c>
      <c r="T357">
        <v>223540</v>
      </c>
      <c r="U357">
        <v>22340</v>
      </c>
      <c r="V357">
        <v>1.9743999999999999</v>
      </c>
      <c r="W357">
        <v>1.9109</v>
      </c>
      <c r="X357">
        <v>5.4935999999999998</v>
      </c>
      <c r="Z357">
        <v>10611.35</v>
      </c>
      <c r="AB357">
        <v>10617.92</v>
      </c>
      <c r="AD357">
        <v>10612.57</v>
      </c>
      <c r="AF357" t="s">
        <v>182</v>
      </c>
      <c r="AG357" t="s">
        <v>185</v>
      </c>
      <c r="AI357" t="s">
        <v>186</v>
      </c>
      <c r="AJ357" t="s">
        <v>1251</v>
      </c>
      <c r="AK357" t="s">
        <v>188</v>
      </c>
    </row>
    <row r="358" spans="1:37" x14ac:dyDescent="0.3">
      <c r="A358">
        <v>8008</v>
      </c>
      <c r="B358" s="207">
        <v>46121</v>
      </c>
      <c r="C358" t="s">
        <v>438</v>
      </c>
      <c r="D358" t="s">
        <v>1252</v>
      </c>
      <c r="E358" t="s">
        <v>1253</v>
      </c>
      <c r="F358" s="207">
        <v>46873</v>
      </c>
      <c r="G358">
        <v>2.5</v>
      </c>
      <c r="H358">
        <v>68267</v>
      </c>
      <c r="I358">
        <v>67409844</v>
      </c>
      <c r="J358">
        <v>3.3050000000000002</v>
      </c>
      <c r="K358">
        <v>10582</v>
      </c>
      <c r="L358">
        <v>72240138</v>
      </c>
      <c r="M358">
        <v>-319396</v>
      </c>
      <c r="N358">
        <v>5149690</v>
      </c>
      <c r="O358">
        <v>490063</v>
      </c>
      <c r="P358">
        <v>3636853</v>
      </c>
      <c r="Q358">
        <v>1022774</v>
      </c>
      <c r="S358">
        <v>0</v>
      </c>
      <c r="T358">
        <v>577750</v>
      </c>
      <c r="U358">
        <v>57760</v>
      </c>
      <c r="V358">
        <v>2.0566</v>
      </c>
      <c r="W358">
        <v>1.9904999999999999</v>
      </c>
      <c r="X358">
        <v>5.8721666666000001</v>
      </c>
      <c r="Z358">
        <v>10579.74</v>
      </c>
      <c r="AB358">
        <v>10586.56</v>
      </c>
      <c r="AD358">
        <v>10581.01</v>
      </c>
      <c r="AF358" t="s">
        <v>182</v>
      </c>
      <c r="AG358" t="s">
        <v>185</v>
      </c>
      <c r="AI358" t="s">
        <v>186</v>
      </c>
      <c r="AJ358" t="s">
        <v>1254</v>
      </c>
      <c r="AK358" t="s">
        <v>188</v>
      </c>
    </row>
    <row r="359" spans="1:37" x14ac:dyDescent="0.3">
      <c r="A359">
        <v>8008</v>
      </c>
      <c r="B359" s="207">
        <v>46121</v>
      </c>
      <c r="C359" t="s">
        <v>438</v>
      </c>
      <c r="D359" t="s">
        <v>1255</v>
      </c>
      <c r="E359" t="s">
        <v>1256</v>
      </c>
      <c r="F359" s="207">
        <v>46996</v>
      </c>
      <c r="G359">
        <v>2.5</v>
      </c>
      <c r="H359">
        <v>7390</v>
      </c>
      <c r="I359">
        <v>7268038</v>
      </c>
      <c r="J359">
        <v>3.355</v>
      </c>
      <c r="K359">
        <v>10454</v>
      </c>
      <c r="L359">
        <v>7725506</v>
      </c>
      <c r="M359">
        <v>-34135</v>
      </c>
      <c r="N359">
        <v>491603</v>
      </c>
      <c r="O359">
        <v>52610</v>
      </c>
      <c r="P359">
        <v>233425</v>
      </c>
      <c r="Q359">
        <v>205568</v>
      </c>
      <c r="S359">
        <v>0</v>
      </c>
      <c r="T359">
        <v>40040</v>
      </c>
      <c r="U359">
        <v>4000</v>
      </c>
      <c r="V359">
        <v>2.3936000000000002</v>
      </c>
      <c r="W359">
        <v>2.3175666665999999</v>
      </c>
      <c r="X359">
        <v>7.5385333333000002</v>
      </c>
      <c r="Z359">
        <v>10452.52</v>
      </c>
      <c r="AB359">
        <v>10457.700000000001</v>
      </c>
      <c r="AD359">
        <v>10451.799999999999</v>
      </c>
      <c r="AF359" t="s">
        <v>182</v>
      </c>
      <c r="AG359" t="s">
        <v>185</v>
      </c>
      <c r="AI359" t="s">
        <v>186</v>
      </c>
      <c r="AJ359" t="s">
        <v>1257</v>
      </c>
      <c r="AK359" t="s">
        <v>188</v>
      </c>
    </row>
    <row r="360" spans="1:37" x14ac:dyDescent="0.3">
      <c r="A360">
        <v>8008</v>
      </c>
      <c r="B360" s="207">
        <v>46121</v>
      </c>
      <c r="C360" t="s">
        <v>438</v>
      </c>
      <c r="D360" t="s">
        <v>1258</v>
      </c>
      <c r="E360" t="s">
        <v>1259</v>
      </c>
      <c r="F360" s="207">
        <v>47026</v>
      </c>
      <c r="G360">
        <v>2.5</v>
      </c>
      <c r="H360">
        <v>19580</v>
      </c>
      <c r="I360">
        <v>19236257</v>
      </c>
      <c r="J360">
        <v>3.3679999999999999</v>
      </c>
      <c r="K360">
        <v>10422</v>
      </c>
      <c r="L360">
        <v>20406275</v>
      </c>
      <c r="M360">
        <v>-90160</v>
      </c>
      <c r="N360">
        <v>1260178</v>
      </c>
      <c r="O360">
        <v>139110</v>
      </c>
      <c r="P360">
        <v>717827</v>
      </c>
      <c r="Q360">
        <v>403241</v>
      </c>
      <c r="S360">
        <v>0</v>
      </c>
      <c r="T360">
        <v>119950</v>
      </c>
      <c r="U360">
        <v>11990</v>
      </c>
      <c r="V360">
        <v>2.4758</v>
      </c>
      <c r="W360">
        <v>2.3969333332999998</v>
      </c>
      <c r="X360">
        <v>7.9860333333</v>
      </c>
      <c r="Z360">
        <v>10420.85</v>
      </c>
      <c r="AB360">
        <v>10426.18</v>
      </c>
      <c r="AD360">
        <v>10420.1</v>
      </c>
      <c r="AF360" t="s">
        <v>182</v>
      </c>
      <c r="AG360" t="s">
        <v>185</v>
      </c>
      <c r="AI360" t="s">
        <v>186</v>
      </c>
      <c r="AJ360" t="s">
        <v>1260</v>
      </c>
      <c r="AK360" t="s">
        <v>188</v>
      </c>
    </row>
    <row r="361" spans="1:37" x14ac:dyDescent="0.3">
      <c r="A361">
        <v>8008</v>
      </c>
      <c r="B361" s="207">
        <v>46121</v>
      </c>
      <c r="C361" t="s">
        <v>438</v>
      </c>
      <c r="D361" t="s">
        <v>1261</v>
      </c>
      <c r="E361" t="s">
        <v>1262</v>
      </c>
      <c r="F361" s="207">
        <v>47057</v>
      </c>
      <c r="G361">
        <v>2.5</v>
      </c>
      <c r="H361">
        <v>35</v>
      </c>
      <c r="I361">
        <v>34351</v>
      </c>
      <c r="J361">
        <v>3.3929999999999998</v>
      </c>
      <c r="K361">
        <v>10386</v>
      </c>
      <c r="L361">
        <v>36351</v>
      </c>
      <c r="M361">
        <v>-174</v>
      </c>
      <c r="N361">
        <v>2174</v>
      </c>
      <c r="O361">
        <v>248</v>
      </c>
      <c r="P361">
        <v>162</v>
      </c>
      <c r="Q361">
        <v>1764</v>
      </c>
      <c r="S361">
        <v>0</v>
      </c>
      <c r="T361">
        <v>50</v>
      </c>
      <c r="U361">
        <v>0</v>
      </c>
      <c r="V361">
        <v>2.5607000000000002</v>
      </c>
      <c r="W361">
        <v>2.4784666666000001</v>
      </c>
      <c r="X361">
        <v>8.4631333333000001</v>
      </c>
      <c r="Z361">
        <v>10385.35</v>
      </c>
      <c r="AB361">
        <v>10390.07</v>
      </c>
      <c r="AD361">
        <v>10384.06</v>
      </c>
      <c r="AF361" t="s">
        <v>182</v>
      </c>
      <c r="AG361" t="s">
        <v>185</v>
      </c>
      <c r="AI361" t="s">
        <v>186</v>
      </c>
      <c r="AJ361" t="s">
        <v>1263</v>
      </c>
      <c r="AK361" t="s">
        <v>188</v>
      </c>
    </row>
    <row r="362" spans="1:37" x14ac:dyDescent="0.3">
      <c r="A362">
        <v>8008</v>
      </c>
      <c r="B362" s="207">
        <v>46121</v>
      </c>
      <c r="C362" t="s">
        <v>438</v>
      </c>
      <c r="D362" t="s">
        <v>1264</v>
      </c>
      <c r="E362" t="s">
        <v>1265</v>
      </c>
      <c r="F362" s="207">
        <v>47149</v>
      </c>
      <c r="G362">
        <v>2.5</v>
      </c>
      <c r="H362">
        <v>7854</v>
      </c>
      <c r="I362">
        <v>7685966</v>
      </c>
      <c r="J362">
        <v>3.4849999999999999</v>
      </c>
      <c r="K362">
        <v>10274</v>
      </c>
      <c r="L362">
        <v>8069199</v>
      </c>
      <c r="M362">
        <v>-52982</v>
      </c>
      <c r="N362">
        <v>436215</v>
      </c>
      <c r="O362">
        <v>55338</v>
      </c>
      <c r="P362">
        <v>280633</v>
      </c>
      <c r="Q362">
        <v>100244</v>
      </c>
      <c r="S362">
        <v>0</v>
      </c>
      <c r="T362">
        <v>47020</v>
      </c>
      <c r="U362">
        <v>4690</v>
      </c>
      <c r="V362">
        <v>2.8128000000000002</v>
      </c>
      <c r="W362">
        <v>2.7187999999999999</v>
      </c>
      <c r="X362">
        <v>9.9726666666000003</v>
      </c>
      <c r="Z362">
        <v>10273.299999999999</v>
      </c>
      <c r="AB362">
        <v>10277.01</v>
      </c>
      <c r="AD362">
        <v>10272.74</v>
      </c>
      <c r="AF362" t="s">
        <v>182</v>
      </c>
      <c r="AG362" t="s">
        <v>185</v>
      </c>
      <c r="AI362" t="s">
        <v>186</v>
      </c>
      <c r="AJ362" t="s">
        <v>1266</v>
      </c>
      <c r="AK362" t="s">
        <v>188</v>
      </c>
    </row>
    <row r="363" spans="1:37" x14ac:dyDescent="0.3">
      <c r="A363">
        <v>8008</v>
      </c>
      <c r="B363" s="207">
        <v>46121</v>
      </c>
      <c r="C363" t="s">
        <v>438</v>
      </c>
      <c r="D363" t="s">
        <v>1267</v>
      </c>
      <c r="E363" t="s">
        <v>1268</v>
      </c>
      <c r="F363" s="207">
        <v>47208</v>
      </c>
      <c r="G363">
        <v>2.5</v>
      </c>
      <c r="H363">
        <v>26671</v>
      </c>
      <c r="I363">
        <v>26054414</v>
      </c>
      <c r="J363">
        <v>3.5419999999999998</v>
      </c>
      <c r="K363">
        <v>10201</v>
      </c>
      <c r="L363">
        <v>27207085</v>
      </c>
      <c r="M363">
        <v>-216507</v>
      </c>
      <c r="N363">
        <v>1369178</v>
      </c>
      <c r="O363">
        <v>187169</v>
      </c>
      <c r="P363">
        <v>975374</v>
      </c>
      <c r="Q363">
        <v>206635</v>
      </c>
      <c r="S363">
        <v>0</v>
      </c>
      <c r="T363">
        <v>162720</v>
      </c>
      <c r="U363">
        <v>16240</v>
      </c>
      <c r="V363">
        <v>2.9744000000000002</v>
      </c>
      <c r="W363">
        <v>2.8720666665999999</v>
      </c>
      <c r="X363">
        <v>11.0145666666</v>
      </c>
      <c r="Z363">
        <v>10202.31</v>
      </c>
      <c r="AB363">
        <v>10202.379999999999</v>
      </c>
      <c r="AD363">
        <v>10199.969999999999</v>
      </c>
      <c r="AF363" t="s">
        <v>182</v>
      </c>
      <c r="AG363" t="s">
        <v>185</v>
      </c>
      <c r="AI363" t="s">
        <v>186</v>
      </c>
      <c r="AJ363" t="s">
        <v>1269</v>
      </c>
      <c r="AK363" t="s">
        <v>188</v>
      </c>
    </row>
    <row r="364" spans="1:37" x14ac:dyDescent="0.3">
      <c r="A364">
        <v>8008</v>
      </c>
      <c r="B364" s="207">
        <v>46121</v>
      </c>
      <c r="C364" t="s">
        <v>438</v>
      </c>
      <c r="D364" t="s">
        <v>1270</v>
      </c>
      <c r="E364" t="s">
        <v>1271</v>
      </c>
      <c r="F364" s="207">
        <v>47238</v>
      </c>
      <c r="G364">
        <v>2.5</v>
      </c>
      <c r="H364">
        <v>41594</v>
      </c>
      <c r="I364">
        <v>40599866</v>
      </c>
      <c r="J364">
        <v>3.552</v>
      </c>
      <c r="K364">
        <v>10169</v>
      </c>
      <c r="L364">
        <v>42296938</v>
      </c>
      <c r="M364">
        <v>-349536</v>
      </c>
      <c r="N364">
        <v>2046608</v>
      </c>
      <c r="O364">
        <v>291305</v>
      </c>
      <c r="P364">
        <v>1335939</v>
      </c>
      <c r="Q364">
        <v>419364</v>
      </c>
      <c r="S364">
        <v>0</v>
      </c>
      <c r="T364">
        <v>227790</v>
      </c>
      <c r="U364">
        <v>22760</v>
      </c>
      <c r="V364">
        <v>3.0566</v>
      </c>
      <c r="W364">
        <v>2.9514999999999998</v>
      </c>
      <c r="X364">
        <v>11.544766666599999</v>
      </c>
      <c r="Z364">
        <v>10169.42</v>
      </c>
      <c r="AB364">
        <v>10170.39</v>
      </c>
      <c r="AD364">
        <v>10167.92</v>
      </c>
      <c r="AF364" t="s">
        <v>182</v>
      </c>
      <c r="AG364" t="s">
        <v>185</v>
      </c>
      <c r="AI364" t="s">
        <v>186</v>
      </c>
      <c r="AJ364" t="s">
        <v>1272</v>
      </c>
      <c r="AK364" t="s">
        <v>188</v>
      </c>
    </row>
    <row r="365" spans="1:37" x14ac:dyDescent="0.3">
      <c r="A365">
        <v>8008</v>
      </c>
      <c r="B365" s="207">
        <v>46121</v>
      </c>
      <c r="C365" t="s">
        <v>438</v>
      </c>
      <c r="D365" t="s">
        <v>1273</v>
      </c>
      <c r="E365" t="s">
        <v>1274</v>
      </c>
      <c r="F365" s="207">
        <v>47269</v>
      </c>
      <c r="G365">
        <v>2.5</v>
      </c>
      <c r="H365">
        <v>8900</v>
      </c>
      <c r="I365">
        <v>8679126</v>
      </c>
      <c r="J365">
        <v>3.5539999999999998</v>
      </c>
      <c r="K365">
        <v>10138</v>
      </c>
      <c r="L365">
        <v>9022820</v>
      </c>
      <c r="M365">
        <v>-74661</v>
      </c>
      <c r="N365">
        <v>418355</v>
      </c>
      <c r="O365">
        <v>62201</v>
      </c>
      <c r="P365">
        <v>230343</v>
      </c>
      <c r="Q365">
        <v>125811</v>
      </c>
      <c r="S365">
        <v>0</v>
      </c>
      <c r="T365">
        <v>40940</v>
      </c>
      <c r="U365">
        <v>4080</v>
      </c>
      <c r="V365">
        <v>3.1415666666000002</v>
      </c>
      <c r="W365">
        <v>3.0341999999999998</v>
      </c>
      <c r="X365">
        <v>12.098100000000001</v>
      </c>
      <c r="Z365">
        <v>10137.969999999999</v>
      </c>
      <c r="AB365">
        <v>10139.58</v>
      </c>
      <c r="AD365">
        <v>10136.73</v>
      </c>
      <c r="AF365" t="s">
        <v>182</v>
      </c>
      <c r="AG365" t="s">
        <v>185</v>
      </c>
      <c r="AI365" t="s">
        <v>186</v>
      </c>
      <c r="AJ365" t="s">
        <v>1275</v>
      </c>
      <c r="AK365" t="s">
        <v>188</v>
      </c>
    </row>
    <row r="366" spans="1:37" x14ac:dyDescent="0.3">
      <c r="A366">
        <v>8008</v>
      </c>
      <c r="B366" s="207">
        <v>46121</v>
      </c>
      <c r="C366" t="s">
        <v>438</v>
      </c>
      <c r="D366" t="s">
        <v>1276</v>
      </c>
      <c r="E366" t="s">
        <v>1277</v>
      </c>
      <c r="F366" s="207">
        <v>47299</v>
      </c>
      <c r="G366">
        <v>2.5</v>
      </c>
      <c r="H366">
        <v>24057</v>
      </c>
      <c r="I366">
        <v>23438522</v>
      </c>
      <c r="J366">
        <v>3.5569999999999999</v>
      </c>
      <c r="K366">
        <v>10107</v>
      </c>
      <c r="L366">
        <v>24314408</v>
      </c>
      <c r="M366">
        <v>-203876</v>
      </c>
      <c r="N366">
        <v>1079762</v>
      </c>
      <c r="O366">
        <v>167790</v>
      </c>
      <c r="P366">
        <v>612976</v>
      </c>
      <c r="Q366">
        <v>298996</v>
      </c>
      <c r="S366">
        <v>0</v>
      </c>
      <c r="T366">
        <v>109280</v>
      </c>
      <c r="U366">
        <v>10910</v>
      </c>
      <c r="V366">
        <v>3.2237666666</v>
      </c>
      <c r="W366">
        <v>3.1140666665999999</v>
      </c>
      <c r="X366">
        <v>12.649900000000001</v>
      </c>
      <c r="Z366">
        <v>10107.32</v>
      </c>
      <c r="AB366">
        <v>10109.91</v>
      </c>
      <c r="AD366">
        <v>10106.370000000001</v>
      </c>
      <c r="AF366" t="s">
        <v>182</v>
      </c>
      <c r="AG366" t="s">
        <v>185</v>
      </c>
      <c r="AI366" t="s">
        <v>186</v>
      </c>
      <c r="AJ366" t="s">
        <v>1278</v>
      </c>
      <c r="AK366" t="s">
        <v>188</v>
      </c>
    </row>
    <row r="367" spans="1:37" x14ac:dyDescent="0.3">
      <c r="A367">
        <v>8008</v>
      </c>
      <c r="B367" s="207">
        <v>46121</v>
      </c>
      <c r="C367" t="s">
        <v>438</v>
      </c>
      <c r="D367" t="s">
        <v>1279</v>
      </c>
      <c r="E367" t="s">
        <v>1280</v>
      </c>
      <c r="F367" s="207">
        <v>47330</v>
      </c>
      <c r="G367">
        <v>2.5</v>
      </c>
      <c r="H367">
        <v>50351</v>
      </c>
      <c r="I367">
        <v>49014960</v>
      </c>
      <c r="J367">
        <v>3.5590000000000002</v>
      </c>
      <c r="K367">
        <v>10077</v>
      </c>
      <c r="L367">
        <v>50738702</v>
      </c>
      <c r="M367">
        <v>-425972</v>
      </c>
      <c r="N367">
        <v>2149714</v>
      </c>
      <c r="O367">
        <v>350445</v>
      </c>
      <c r="P367">
        <v>1671456</v>
      </c>
      <c r="Q367">
        <v>127813</v>
      </c>
      <c r="S367">
        <v>0</v>
      </c>
      <c r="T367">
        <v>283060</v>
      </c>
      <c r="U367">
        <v>28290</v>
      </c>
      <c r="V367">
        <v>3.3086666666000002</v>
      </c>
      <c r="W367">
        <v>3.1964999999999999</v>
      </c>
      <c r="X367">
        <v>13.2372</v>
      </c>
      <c r="Z367">
        <v>10076.129999999999</v>
      </c>
      <c r="AB367">
        <v>10079.75</v>
      </c>
      <c r="AD367">
        <v>10075.48</v>
      </c>
      <c r="AF367" t="s">
        <v>182</v>
      </c>
      <c r="AG367" t="s">
        <v>185</v>
      </c>
      <c r="AI367" t="s">
        <v>186</v>
      </c>
      <c r="AJ367" t="s">
        <v>1281</v>
      </c>
      <c r="AK367" t="s">
        <v>188</v>
      </c>
    </row>
    <row r="368" spans="1:37" x14ac:dyDescent="0.3">
      <c r="A368">
        <v>8008</v>
      </c>
      <c r="B368" s="207">
        <v>46121</v>
      </c>
      <c r="C368" t="s">
        <v>438</v>
      </c>
      <c r="D368" t="s">
        <v>1282</v>
      </c>
      <c r="E368" t="s">
        <v>1283</v>
      </c>
      <c r="F368" s="207">
        <v>47391</v>
      </c>
      <c r="G368">
        <v>2.5</v>
      </c>
      <c r="H368">
        <v>1941</v>
      </c>
      <c r="I368">
        <v>1886129</v>
      </c>
      <c r="J368">
        <v>3.5619999999999998</v>
      </c>
      <c r="K368">
        <v>10016</v>
      </c>
      <c r="L368">
        <v>1944102</v>
      </c>
      <c r="M368">
        <v>-16558</v>
      </c>
      <c r="N368">
        <v>74531</v>
      </c>
      <c r="O368">
        <v>13453</v>
      </c>
      <c r="P368">
        <v>53825</v>
      </c>
      <c r="Q368">
        <v>7253</v>
      </c>
      <c r="S368">
        <v>0</v>
      </c>
      <c r="T368">
        <v>9380</v>
      </c>
      <c r="U368">
        <v>910</v>
      </c>
      <c r="V368">
        <v>3.4758</v>
      </c>
      <c r="W368">
        <v>3.3581333333000001</v>
      </c>
      <c r="X368">
        <v>14.4421666666</v>
      </c>
      <c r="Z368">
        <v>10015.120000000001</v>
      </c>
      <c r="AB368">
        <v>10020.58</v>
      </c>
      <c r="AD368">
        <v>10015.120000000001</v>
      </c>
      <c r="AF368" t="s">
        <v>182</v>
      </c>
      <c r="AG368" t="s">
        <v>185</v>
      </c>
      <c r="AI368" t="s">
        <v>186</v>
      </c>
      <c r="AJ368" t="s">
        <v>1284</v>
      </c>
      <c r="AK368" t="s">
        <v>188</v>
      </c>
    </row>
    <row r="369" spans="1:37" x14ac:dyDescent="0.3">
      <c r="A369">
        <v>8008</v>
      </c>
      <c r="B369" s="207">
        <v>46121</v>
      </c>
      <c r="C369" t="s">
        <v>438</v>
      </c>
      <c r="D369" t="s">
        <v>1285</v>
      </c>
      <c r="E369" t="s">
        <v>1286</v>
      </c>
      <c r="F369" s="207">
        <v>47422</v>
      </c>
      <c r="G369">
        <v>2.5</v>
      </c>
      <c r="H369">
        <v>3386</v>
      </c>
      <c r="I369">
        <v>3276752</v>
      </c>
      <c r="J369">
        <v>3.5649999999999999</v>
      </c>
      <c r="K369">
        <v>9986</v>
      </c>
      <c r="L369">
        <v>3381259</v>
      </c>
      <c r="M369">
        <v>-18151</v>
      </c>
      <c r="N369">
        <v>122658</v>
      </c>
      <c r="O369">
        <v>20481</v>
      </c>
      <c r="P369">
        <v>54815</v>
      </c>
      <c r="Q369">
        <v>47362</v>
      </c>
      <c r="S369">
        <v>0</v>
      </c>
      <c r="T369">
        <v>10530</v>
      </c>
      <c r="U369">
        <v>1040</v>
      </c>
      <c r="V369">
        <v>3.5607000000000002</v>
      </c>
      <c r="W369">
        <v>3.4400333333000002</v>
      </c>
      <c r="X369">
        <v>15.0791333333</v>
      </c>
      <c r="Z369">
        <v>9983.99</v>
      </c>
      <c r="AB369">
        <v>9990.6</v>
      </c>
      <c r="AD369">
        <v>9984.33</v>
      </c>
      <c r="AF369" t="s">
        <v>182</v>
      </c>
      <c r="AG369" t="s">
        <v>185</v>
      </c>
      <c r="AI369" t="s">
        <v>186</v>
      </c>
      <c r="AJ369" t="s">
        <v>1287</v>
      </c>
      <c r="AK369" t="s">
        <v>188</v>
      </c>
    </row>
    <row r="370" spans="1:37" x14ac:dyDescent="0.3">
      <c r="A370">
        <v>8008</v>
      </c>
      <c r="B370" s="207">
        <v>46121</v>
      </c>
      <c r="C370" t="s">
        <v>438</v>
      </c>
      <c r="D370" t="s">
        <v>1288</v>
      </c>
      <c r="E370" t="s">
        <v>1289</v>
      </c>
      <c r="F370" s="207">
        <v>47542</v>
      </c>
      <c r="G370">
        <v>2.5</v>
      </c>
      <c r="H370">
        <v>2159</v>
      </c>
      <c r="I370">
        <v>2087352</v>
      </c>
      <c r="J370">
        <v>3.577</v>
      </c>
      <c r="K370">
        <v>9868</v>
      </c>
      <c r="L370">
        <v>2130501</v>
      </c>
      <c r="M370">
        <v>-16972</v>
      </c>
      <c r="N370">
        <v>60121</v>
      </c>
      <c r="O370">
        <v>14813</v>
      </c>
      <c r="P370">
        <v>37260</v>
      </c>
      <c r="Q370">
        <v>8048</v>
      </c>
      <c r="S370">
        <v>0</v>
      </c>
      <c r="T370">
        <v>7290</v>
      </c>
      <c r="U370">
        <v>720</v>
      </c>
      <c r="V370">
        <v>3.8895</v>
      </c>
      <c r="W370">
        <v>3.7553666666000001</v>
      </c>
      <c r="X370">
        <v>17.698599999999999</v>
      </c>
      <c r="Z370">
        <v>9861.08</v>
      </c>
      <c r="AB370">
        <v>9876.7199999999993</v>
      </c>
      <c r="AD370">
        <v>9867.75</v>
      </c>
      <c r="AF370" t="s">
        <v>182</v>
      </c>
      <c r="AG370" t="s">
        <v>185</v>
      </c>
      <c r="AI370" t="s">
        <v>186</v>
      </c>
      <c r="AJ370" t="s">
        <v>1290</v>
      </c>
      <c r="AK370" t="s">
        <v>188</v>
      </c>
    </row>
    <row r="371" spans="1:37" x14ac:dyDescent="0.3">
      <c r="A371">
        <v>8008</v>
      </c>
      <c r="B371" s="207">
        <v>46121</v>
      </c>
      <c r="C371" t="s">
        <v>438</v>
      </c>
      <c r="D371" t="s">
        <v>1291</v>
      </c>
      <c r="E371" t="s">
        <v>1292</v>
      </c>
      <c r="F371" s="207">
        <v>47573</v>
      </c>
      <c r="G371">
        <v>2.5</v>
      </c>
      <c r="H371">
        <v>44479</v>
      </c>
      <c r="I371">
        <v>42946829</v>
      </c>
      <c r="J371">
        <v>3.5790000000000002</v>
      </c>
      <c r="K371">
        <v>9838</v>
      </c>
      <c r="L371">
        <v>43758438</v>
      </c>
      <c r="M371">
        <v>-331218</v>
      </c>
      <c r="N371">
        <v>1142827</v>
      </c>
      <c r="O371">
        <v>304530</v>
      </c>
      <c r="P371">
        <v>716497</v>
      </c>
      <c r="Q371">
        <v>121800</v>
      </c>
      <c r="S371">
        <v>0</v>
      </c>
      <c r="T371">
        <v>142920</v>
      </c>
      <c r="U371">
        <v>14280</v>
      </c>
      <c r="V371">
        <v>3.9744000000000002</v>
      </c>
      <c r="W371">
        <v>3.8365</v>
      </c>
      <c r="X371">
        <v>18.414633333299999</v>
      </c>
      <c r="Z371">
        <v>9830.84</v>
      </c>
      <c r="AB371">
        <v>9847.52</v>
      </c>
      <c r="AD371">
        <v>9837.6299999999992</v>
      </c>
      <c r="AF371" t="s">
        <v>182</v>
      </c>
      <c r="AG371" t="s">
        <v>185</v>
      </c>
      <c r="AI371" t="s">
        <v>186</v>
      </c>
      <c r="AJ371" t="s">
        <v>1293</v>
      </c>
      <c r="AK371" t="s">
        <v>188</v>
      </c>
    </row>
    <row r="372" spans="1:37" x14ac:dyDescent="0.3">
      <c r="A372">
        <v>8008</v>
      </c>
      <c r="B372" s="207">
        <v>46121</v>
      </c>
      <c r="C372" t="s">
        <v>438</v>
      </c>
      <c r="D372" t="s">
        <v>1294</v>
      </c>
      <c r="E372" t="s">
        <v>1295</v>
      </c>
      <c r="F372" s="207">
        <v>47634</v>
      </c>
      <c r="G372">
        <v>2.5</v>
      </c>
      <c r="H372">
        <v>11120</v>
      </c>
      <c r="I372">
        <v>10710215</v>
      </c>
      <c r="J372">
        <v>3.597</v>
      </c>
      <c r="K372">
        <v>9773</v>
      </c>
      <c r="L372">
        <v>10867576</v>
      </c>
      <c r="M372">
        <v>-81381</v>
      </c>
      <c r="N372">
        <v>238742</v>
      </c>
      <c r="O372">
        <v>75821</v>
      </c>
      <c r="P372">
        <v>4578</v>
      </c>
      <c r="Q372">
        <v>158343</v>
      </c>
      <c r="S372">
        <v>0</v>
      </c>
      <c r="T372">
        <v>11250</v>
      </c>
      <c r="U372">
        <v>1120</v>
      </c>
      <c r="V372">
        <v>4.1415666666000002</v>
      </c>
      <c r="W372">
        <v>3.9982333333</v>
      </c>
      <c r="X372">
        <v>19.807133333300001</v>
      </c>
      <c r="Z372">
        <v>9764.9</v>
      </c>
      <c r="AB372">
        <v>9781.7800000000007</v>
      </c>
      <c r="AD372">
        <v>9773.89</v>
      </c>
      <c r="AF372" t="s">
        <v>182</v>
      </c>
      <c r="AG372" t="s">
        <v>185</v>
      </c>
      <c r="AI372" t="s">
        <v>186</v>
      </c>
      <c r="AJ372" t="s">
        <v>1296</v>
      </c>
      <c r="AK372" t="s">
        <v>188</v>
      </c>
    </row>
    <row r="373" spans="1:37" x14ac:dyDescent="0.3">
      <c r="A373">
        <v>8008</v>
      </c>
      <c r="B373" s="207">
        <v>46121</v>
      </c>
      <c r="C373" t="s">
        <v>438</v>
      </c>
      <c r="D373" t="s">
        <v>1297</v>
      </c>
      <c r="E373" t="s">
        <v>1298</v>
      </c>
      <c r="F373" s="207">
        <v>47664</v>
      </c>
      <c r="G373">
        <v>2.5</v>
      </c>
      <c r="H373">
        <v>105769</v>
      </c>
      <c r="I373">
        <v>101750407</v>
      </c>
      <c r="J373">
        <v>3.6059999999999999</v>
      </c>
      <c r="K373">
        <v>9741</v>
      </c>
      <c r="L373">
        <v>103029581</v>
      </c>
      <c r="M373">
        <v>-772597</v>
      </c>
      <c r="N373">
        <v>2051771</v>
      </c>
      <c r="O373">
        <v>719712</v>
      </c>
      <c r="P373">
        <v>1124186</v>
      </c>
      <c r="Q373">
        <v>207873</v>
      </c>
      <c r="S373">
        <v>0</v>
      </c>
      <c r="T373">
        <v>258120</v>
      </c>
      <c r="U373">
        <v>25780</v>
      </c>
      <c r="V373">
        <v>4.2237666666000004</v>
      </c>
      <c r="W373">
        <v>4.0778666666000003</v>
      </c>
      <c r="X373">
        <v>20.509933333300001</v>
      </c>
      <c r="Z373">
        <v>9732.91</v>
      </c>
      <c r="AB373">
        <v>9748.8799999999992</v>
      </c>
      <c r="AD373">
        <v>9742.0499999999993</v>
      </c>
      <c r="AF373" t="s">
        <v>182</v>
      </c>
      <c r="AG373" t="s">
        <v>185</v>
      </c>
      <c r="AI373" t="s">
        <v>186</v>
      </c>
      <c r="AJ373" t="s">
        <v>1299</v>
      </c>
      <c r="AK373" t="s">
        <v>188</v>
      </c>
    </row>
    <row r="374" spans="1:37" x14ac:dyDescent="0.3">
      <c r="A374">
        <v>8008</v>
      </c>
      <c r="B374" s="207">
        <v>46121</v>
      </c>
      <c r="C374" t="s">
        <v>438</v>
      </c>
      <c r="D374" t="s">
        <v>1300</v>
      </c>
      <c r="E374" t="s">
        <v>1301</v>
      </c>
      <c r="F374" s="207">
        <v>47695</v>
      </c>
      <c r="G374">
        <v>2.5</v>
      </c>
      <c r="H374">
        <v>17728</v>
      </c>
      <c r="I374">
        <v>17033548</v>
      </c>
      <c r="J374">
        <v>3.6160000000000001</v>
      </c>
      <c r="K374">
        <v>9707</v>
      </c>
      <c r="L374">
        <v>17208569</v>
      </c>
      <c r="M374">
        <v>-131016</v>
      </c>
      <c r="N374">
        <v>306037</v>
      </c>
      <c r="O374">
        <v>120380</v>
      </c>
      <c r="P374">
        <v>141207</v>
      </c>
      <c r="Q374">
        <v>44450</v>
      </c>
      <c r="S374">
        <v>0</v>
      </c>
      <c r="T374">
        <v>36600</v>
      </c>
      <c r="U374">
        <v>3640</v>
      </c>
      <c r="V374">
        <v>4.3086666665999998</v>
      </c>
      <c r="W374">
        <v>4.1598666666000002</v>
      </c>
      <c r="X374">
        <v>21.252233333300001</v>
      </c>
      <c r="Z374">
        <v>9699.2199999999993</v>
      </c>
      <c r="AB374">
        <v>9715.0499999999993</v>
      </c>
      <c r="AD374">
        <v>9708.91</v>
      </c>
      <c r="AF374" t="s">
        <v>182</v>
      </c>
      <c r="AG374" t="s">
        <v>185</v>
      </c>
      <c r="AI374" t="s">
        <v>186</v>
      </c>
      <c r="AJ374" t="s">
        <v>1302</v>
      </c>
      <c r="AK374" t="s">
        <v>188</v>
      </c>
    </row>
    <row r="375" spans="1:37" x14ac:dyDescent="0.3">
      <c r="A375">
        <v>8008</v>
      </c>
      <c r="B375" s="207">
        <v>46121</v>
      </c>
      <c r="C375" t="s">
        <v>438</v>
      </c>
      <c r="D375" t="s">
        <v>1303</v>
      </c>
      <c r="E375" t="s">
        <v>1304</v>
      </c>
      <c r="F375" s="207">
        <v>47756</v>
      </c>
      <c r="G375">
        <v>2.5</v>
      </c>
      <c r="H375">
        <v>10928</v>
      </c>
      <c r="I375">
        <v>10473776</v>
      </c>
      <c r="J375">
        <v>3.633</v>
      </c>
      <c r="K375">
        <v>9642</v>
      </c>
      <c r="L375">
        <v>10536777</v>
      </c>
      <c r="M375">
        <v>-79866</v>
      </c>
      <c r="N375">
        <v>142867</v>
      </c>
      <c r="O375">
        <v>73836</v>
      </c>
      <c r="P375">
        <v>45221</v>
      </c>
      <c r="Q375">
        <v>23810</v>
      </c>
      <c r="S375">
        <v>0</v>
      </c>
      <c r="T375">
        <v>16660</v>
      </c>
      <c r="U375">
        <v>1660</v>
      </c>
      <c r="V375">
        <v>4.4757999999999996</v>
      </c>
      <c r="W375">
        <v>4.3208666665999997</v>
      </c>
      <c r="X375">
        <v>22.7617666666</v>
      </c>
      <c r="Z375">
        <v>9636.26</v>
      </c>
      <c r="AB375">
        <v>9648.01</v>
      </c>
      <c r="AD375">
        <v>9644.6</v>
      </c>
      <c r="AF375" t="s">
        <v>182</v>
      </c>
      <c r="AG375" t="s">
        <v>185</v>
      </c>
      <c r="AI375" t="s">
        <v>186</v>
      </c>
      <c r="AJ375" t="s">
        <v>1305</v>
      </c>
      <c r="AK375" t="s">
        <v>188</v>
      </c>
    </row>
    <row r="376" spans="1:37" x14ac:dyDescent="0.3">
      <c r="A376">
        <v>8008</v>
      </c>
      <c r="B376" s="207">
        <v>46121</v>
      </c>
      <c r="C376" t="s">
        <v>438</v>
      </c>
      <c r="D376" t="s">
        <v>1306</v>
      </c>
      <c r="E376" t="s">
        <v>1307</v>
      </c>
      <c r="F376" s="207">
        <v>47787</v>
      </c>
      <c r="G376">
        <v>2</v>
      </c>
      <c r="H376">
        <v>38155</v>
      </c>
      <c r="I376">
        <v>35668463</v>
      </c>
      <c r="J376">
        <v>3.6419999999999999</v>
      </c>
      <c r="K376">
        <v>9377</v>
      </c>
      <c r="L376">
        <v>35777943</v>
      </c>
      <c r="M376">
        <v>-225257</v>
      </c>
      <c r="N376">
        <v>334737</v>
      </c>
      <c r="O376">
        <v>206179</v>
      </c>
      <c r="P376">
        <v>70137</v>
      </c>
      <c r="Q376">
        <v>58421</v>
      </c>
      <c r="S376">
        <v>0</v>
      </c>
      <c r="T376">
        <v>38670</v>
      </c>
      <c r="U376">
        <v>3860</v>
      </c>
      <c r="V376">
        <v>4.5606999999999998</v>
      </c>
      <c r="W376">
        <v>4.4024333333000003</v>
      </c>
      <c r="X376">
        <v>23.5527666666</v>
      </c>
      <c r="Z376">
        <v>9371.44</v>
      </c>
      <c r="AB376">
        <v>9381.6299999999992</v>
      </c>
      <c r="AD376">
        <v>9379.2900000000009</v>
      </c>
      <c r="AF376" t="s">
        <v>182</v>
      </c>
      <c r="AG376" t="s">
        <v>185</v>
      </c>
      <c r="AI376" t="s">
        <v>186</v>
      </c>
      <c r="AJ376" t="s">
        <v>1308</v>
      </c>
      <c r="AK376" t="s">
        <v>188</v>
      </c>
    </row>
    <row r="377" spans="1:37" x14ac:dyDescent="0.3">
      <c r="A377">
        <v>8008</v>
      </c>
      <c r="B377" s="207">
        <v>46121</v>
      </c>
      <c r="C377" t="s">
        <v>438</v>
      </c>
      <c r="D377" t="s">
        <v>1309</v>
      </c>
      <c r="E377" t="s">
        <v>1310</v>
      </c>
      <c r="F377" s="207">
        <v>47817</v>
      </c>
      <c r="G377">
        <v>2</v>
      </c>
      <c r="H377">
        <v>5240</v>
      </c>
      <c r="I377">
        <v>4890295</v>
      </c>
      <c r="J377">
        <v>3.6509999999999998</v>
      </c>
      <c r="K377">
        <v>9345</v>
      </c>
      <c r="L377">
        <v>4896780</v>
      </c>
      <c r="M377">
        <v>-30889</v>
      </c>
      <c r="N377">
        <v>37374</v>
      </c>
      <c r="O377">
        <v>28269</v>
      </c>
      <c r="P377">
        <v>611</v>
      </c>
      <c r="Q377">
        <v>8494</v>
      </c>
      <c r="S377">
        <v>0</v>
      </c>
      <c r="T377">
        <v>4040</v>
      </c>
      <c r="U377">
        <v>400</v>
      </c>
      <c r="V377">
        <v>4.6429</v>
      </c>
      <c r="W377">
        <v>4.4810999999999996</v>
      </c>
      <c r="X377">
        <v>24.332899999999999</v>
      </c>
      <c r="Z377">
        <v>9339.73</v>
      </c>
      <c r="AB377">
        <v>9349.64</v>
      </c>
      <c r="AD377">
        <v>9348.5400000000009</v>
      </c>
      <c r="AF377" t="s">
        <v>182</v>
      </c>
      <c r="AG377" t="s">
        <v>185</v>
      </c>
      <c r="AI377" t="s">
        <v>186</v>
      </c>
      <c r="AJ377" t="s">
        <v>1311</v>
      </c>
      <c r="AK377" t="s">
        <v>188</v>
      </c>
    </row>
    <row r="378" spans="1:37" x14ac:dyDescent="0.3">
      <c r="A378">
        <v>8008</v>
      </c>
      <c r="B378" s="207">
        <v>46121</v>
      </c>
      <c r="C378" t="s">
        <v>438</v>
      </c>
      <c r="D378" t="s">
        <v>1312</v>
      </c>
      <c r="E378" t="s">
        <v>1313</v>
      </c>
      <c r="F378" s="207">
        <v>47848</v>
      </c>
      <c r="G378">
        <v>2</v>
      </c>
      <c r="H378">
        <v>24545</v>
      </c>
      <c r="I378">
        <v>22654620</v>
      </c>
      <c r="J378">
        <v>3.661</v>
      </c>
      <c r="K378">
        <v>9313</v>
      </c>
      <c r="L378">
        <v>22858758</v>
      </c>
      <c r="M378">
        <v>70611</v>
      </c>
      <c r="N378">
        <v>133527</v>
      </c>
      <c r="O378">
        <v>93031</v>
      </c>
      <c r="P378">
        <v>0</v>
      </c>
      <c r="Q378">
        <v>40496</v>
      </c>
      <c r="S378">
        <v>0</v>
      </c>
      <c r="T378">
        <v>13010</v>
      </c>
      <c r="U378">
        <v>1300</v>
      </c>
      <c r="V378">
        <v>4.7278666665999998</v>
      </c>
      <c r="W378">
        <v>4.5622333333</v>
      </c>
      <c r="X378">
        <v>25.154666666600001</v>
      </c>
      <c r="Z378">
        <v>9307.58</v>
      </c>
      <c r="AB378">
        <v>9316.77</v>
      </c>
      <c r="AD378">
        <v>9316.51</v>
      </c>
      <c r="AF378" t="s">
        <v>182</v>
      </c>
      <c r="AG378" t="s">
        <v>185</v>
      </c>
      <c r="AI378" t="s">
        <v>186</v>
      </c>
      <c r="AJ378" t="s">
        <v>1314</v>
      </c>
      <c r="AK378" t="s">
        <v>188</v>
      </c>
    </row>
    <row r="379" spans="1:37" x14ac:dyDescent="0.3">
      <c r="A379">
        <v>8008</v>
      </c>
      <c r="B379" s="207">
        <v>46121</v>
      </c>
      <c r="C379" t="s">
        <v>438</v>
      </c>
      <c r="D379" t="s">
        <v>1315</v>
      </c>
      <c r="E379" t="s">
        <v>1316</v>
      </c>
      <c r="F379" s="207">
        <v>47879</v>
      </c>
      <c r="G379">
        <v>2</v>
      </c>
      <c r="H379">
        <v>2406</v>
      </c>
      <c r="I379">
        <v>2227835</v>
      </c>
      <c r="J379">
        <v>3.6709999999999998</v>
      </c>
      <c r="K379">
        <v>9281</v>
      </c>
      <c r="L379">
        <v>2233008</v>
      </c>
      <c r="M379">
        <v>-3850</v>
      </c>
      <c r="N379">
        <v>9023</v>
      </c>
      <c r="O379">
        <v>5542</v>
      </c>
      <c r="P379">
        <v>0</v>
      </c>
      <c r="Q379">
        <v>3481</v>
      </c>
      <c r="S379">
        <v>0</v>
      </c>
      <c r="T379">
        <v>770</v>
      </c>
      <c r="U379">
        <v>70</v>
      </c>
      <c r="V379">
        <v>4.8128000000000002</v>
      </c>
      <c r="W379">
        <v>4.6432000000000002</v>
      </c>
      <c r="X379">
        <v>25.9916666666</v>
      </c>
      <c r="Z379">
        <v>9274.6299999999992</v>
      </c>
      <c r="AB379">
        <v>9283.5</v>
      </c>
      <c r="AD379">
        <v>9284.98</v>
      </c>
      <c r="AF379" t="s">
        <v>182</v>
      </c>
      <c r="AG379" t="s">
        <v>185</v>
      </c>
      <c r="AI379" t="s">
        <v>186</v>
      </c>
      <c r="AJ379" t="s">
        <v>1317</v>
      </c>
      <c r="AK379" t="s">
        <v>188</v>
      </c>
    </row>
    <row r="380" spans="1:37" x14ac:dyDescent="0.3">
      <c r="A380">
        <v>8008</v>
      </c>
      <c r="B380" s="207">
        <v>46121</v>
      </c>
      <c r="C380" t="s">
        <v>438</v>
      </c>
      <c r="D380" t="s">
        <v>1318</v>
      </c>
      <c r="E380" t="s">
        <v>1319</v>
      </c>
      <c r="F380" s="207">
        <v>47907</v>
      </c>
      <c r="G380">
        <v>2</v>
      </c>
      <c r="H380">
        <v>847</v>
      </c>
      <c r="I380">
        <v>767487</v>
      </c>
      <c r="J380">
        <v>3.681</v>
      </c>
      <c r="K380">
        <v>9251</v>
      </c>
      <c r="L380">
        <v>783559</v>
      </c>
      <c r="M380">
        <v>14186</v>
      </c>
      <c r="N380">
        <v>1886</v>
      </c>
      <c r="O380">
        <v>486</v>
      </c>
      <c r="P380">
        <v>0</v>
      </c>
      <c r="Q380">
        <v>1400</v>
      </c>
      <c r="S380">
        <v>0</v>
      </c>
      <c r="T380">
        <v>60</v>
      </c>
      <c r="U380">
        <v>0</v>
      </c>
      <c r="V380">
        <v>4.8895</v>
      </c>
      <c r="W380">
        <v>4.7161333333000002</v>
      </c>
      <c r="X380">
        <v>26.7605333333</v>
      </c>
      <c r="Z380">
        <v>9244</v>
      </c>
      <c r="AB380">
        <v>9253.84</v>
      </c>
      <c r="AD380">
        <v>9256.2199999999993</v>
      </c>
      <c r="AF380" t="s">
        <v>182</v>
      </c>
      <c r="AG380" t="s">
        <v>185</v>
      </c>
      <c r="AI380" t="s">
        <v>186</v>
      </c>
      <c r="AJ380" t="s">
        <v>1320</v>
      </c>
      <c r="AK380" t="s">
        <v>188</v>
      </c>
    </row>
    <row r="381" spans="1:37" x14ac:dyDescent="0.3">
      <c r="A381">
        <v>8008</v>
      </c>
      <c r="B381" s="207">
        <v>46121</v>
      </c>
      <c r="C381" t="s">
        <v>438</v>
      </c>
      <c r="D381" t="s">
        <v>1321</v>
      </c>
      <c r="E381" t="s">
        <v>1322</v>
      </c>
      <c r="F381" s="207">
        <v>47968</v>
      </c>
      <c r="G381">
        <v>2</v>
      </c>
      <c r="H381">
        <v>62024</v>
      </c>
      <c r="I381">
        <v>56375254</v>
      </c>
      <c r="J381">
        <v>3.7010000000000001</v>
      </c>
      <c r="K381">
        <v>9187</v>
      </c>
      <c r="L381">
        <v>56981447</v>
      </c>
      <c r="M381">
        <v>606193</v>
      </c>
      <c r="N381">
        <v>0</v>
      </c>
      <c r="O381">
        <v>0</v>
      </c>
      <c r="P381">
        <v>0</v>
      </c>
      <c r="Q381">
        <v>0</v>
      </c>
      <c r="S381">
        <v>0</v>
      </c>
      <c r="T381">
        <v>0</v>
      </c>
      <c r="U381">
        <v>0</v>
      </c>
      <c r="V381">
        <v>5.0566000000000004</v>
      </c>
      <c r="W381">
        <v>4.8758666666000003</v>
      </c>
      <c r="X381">
        <v>28.459566666600001</v>
      </c>
      <c r="Z381">
        <v>9177.61</v>
      </c>
      <c r="AB381">
        <v>9189.0300000000007</v>
      </c>
      <c r="AD381">
        <v>9195.08</v>
      </c>
      <c r="AF381" t="s">
        <v>182</v>
      </c>
      <c r="AG381" t="s">
        <v>185</v>
      </c>
      <c r="AI381" t="s">
        <v>186</v>
      </c>
      <c r="AJ381" t="s">
        <v>1323</v>
      </c>
      <c r="AK381" t="s">
        <v>188</v>
      </c>
    </row>
    <row r="382" spans="1:37" x14ac:dyDescent="0.3">
      <c r="A382">
        <v>8008</v>
      </c>
      <c r="B382" s="207">
        <v>46121</v>
      </c>
      <c r="C382" t="s">
        <v>438</v>
      </c>
      <c r="D382" t="s">
        <v>1324</v>
      </c>
      <c r="E382" t="s">
        <v>1325</v>
      </c>
      <c r="F382" s="207">
        <v>46418</v>
      </c>
      <c r="G382">
        <v>1.05</v>
      </c>
      <c r="H382">
        <v>15925</v>
      </c>
      <c r="I382">
        <v>15635623</v>
      </c>
      <c r="J382">
        <v>2.915</v>
      </c>
      <c r="K382">
        <v>10292</v>
      </c>
      <c r="L382">
        <v>16390009</v>
      </c>
      <c r="M382">
        <v>42111</v>
      </c>
      <c r="N382">
        <v>712275</v>
      </c>
      <c r="O382">
        <v>47069</v>
      </c>
      <c r="P382">
        <v>430454</v>
      </c>
      <c r="Q382">
        <v>234752</v>
      </c>
      <c r="S382">
        <v>0</v>
      </c>
      <c r="T382">
        <v>66830</v>
      </c>
      <c r="U382">
        <v>6660</v>
      </c>
      <c r="V382">
        <v>0.81189999999999996</v>
      </c>
      <c r="W382">
        <v>0.7903</v>
      </c>
      <c r="X382">
        <v>1.3450666666</v>
      </c>
      <c r="Z382">
        <v>10292.44</v>
      </c>
      <c r="AB382">
        <v>10293.469999999999</v>
      </c>
      <c r="AD382">
        <v>10292.27</v>
      </c>
      <c r="AF382" t="s">
        <v>182</v>
      </c>
      <c r="AG382" t="s">
        <v>185</v>
      </c>
      <c r="AI382" t="s">
        <v>186</v>
      </c>
      <c r="AJ382" t="s">
        <v>1326</v>
      </c>
      <c r="AK382" t="s">
        <v>188</v>
      </c>
    </row>
    <row r="383" spans="1:37" x14ac:dyDescent="0.3">
      <c r="A383">
        <v>8008</v>
      </c>
      <c r="B383" s="207">
        <v>46121</v>
      </c>
      <c r="C383" t="s">
        <v>438</v>
      </c>
      <c r="D383" t="s">
        <v>1327</v>
      </c>
      <c r="E383" t="s">
        <v>1328</v>
      </c>
      <c r="F383" s="207">
        <v>46446</v>
      </c>
      <c r="G383">
        <v>1.05</v>
      </c>
      <c r="H383">
        <v>7300</v>
      </c>
      <c r="I383">
        <v>7155921</v>
      </c>
      <c r="J383">
        <v>2.9510000000000001</v>
      </c>
      <c r="K383">
        <v>10267</v>
      </c>
      <c r="L383">
        <v>7494909</v>
      </c>
      <c r="M383">
        <v>18591</v>
      </c>
      <c r="N383">
        <v>320397</v>
      </c>
      <c r="O383">
        <v>21559</v>
      </c>
      <c r="P383">
        <v>68506</v>
      </c>
      <c r="Q383">
        <v>230332</v>
      </c>
      <c r="S383">
        <v>0</v>
      </c>
      <c r="T383">
        <v>12590</v>
      </c>
      <c r="U383">
        <v>1250</v>
      </c>
      <c r="V383">
        <v>0.88859999999999995</v>
      </c>
      <c r="W383">
        <v>0.86403333329999998</v>
      </c>
      <c r="X383">
        <v>1.5551999999999999</v>
      </c>
      <c r="Z383">
        <v>10266.959999999999</v>
      </c>
      <c r="AB383">
        <v>10267.450000000001</v>
      </c>
      <c r="AD383">
        <v>10266.780000000001</v>
      </c>
      <c r="AF383" t="s">
        <v>182</v>
      </c>
      <c r="AG383" t="s">
        <v>185</v>
      </c>
      <c r="AI383" t="s">
        <v>186</v>
      </c>
      <c r="AJ383" t="s">
        <v>1329</v>
      </c>
      <c r="AK383" t="s">
        <v>188</v>
      </c>
    </row>
    <row r="384" spans="1:37" x14ac:dyDescent="0.3">
      <c r="A384">
        <v>8008</v>
      </c>
      <c r="B384" s="207">
        <v>46121</v>
      </c>
      <c r="C384" t="s">
        <v>438</v>
      </c>
      <c r="D384" t="s">
        <v>1330</v>
      </c>
      <c r="E384" t="s">
        <v>1331</v>
      </c>
      <c r="F384" s="207">
        <v>46568</v>
      </c>
      <c r="G384">
        <v>1.05</v>
      </c>
      <c r="H384">
        <v>16495</v>
      </c>
      <c r="I384">
        <v>16054436</v>
      </c>
      <c r="J384">
        <v>3.0779999999999998</v>
      </c>
      <c r="K384">
        <v>10152</v>
      </c>
      <c r="L384">
        <v>16745724</v>
      </c>
      <c r="M384">
        <v>27332</v>
      </c>
      <c r="N384">
        <v>663956</v>
      </c>
      <c r="O384">
        <v>48545</v>
      </c>
      <c r="P384">
        <v>272493</v>
      </c>
      <c r="Q384">
        <v>342918</v>
      </c>
      <c r="S384">
        <v>0</v>
      </c>
      <c r="T384">
        <v>44940</v>
      </c>
      <c r="U384">
        <v>4490</v>
      </c>
      <c r="V384">
        <v>1.2228333333000001</v>
      </c>
      <c r="W384">
        <v>1.1880333332999999</v>
      </c>
      <c r="X384">
        <v>2.5088333333000001</v>
      </c>
      <c r="Z384">
        <v>10151.92</v>
      </c>
      <c r="AB384">
        <v>10152.41</v>
      </c>
      <c r="AD384">
        <v>10151.92</v>
      </c>
      <c r="AF384" t="s">
        <v>182</v>
      </c>
      <c r="AG384" t="s">
        <v>185</v>
      </c>
      <c r="AI384" t="s">
        <v>186</v>
      </c>
      <c r="AJ384" t="s">
        <v>1332</v>
      </c>
      <c r="AK384" t="s">
        <v>188</v>
      </c>
    </row>
    <row r="385" spans="1:37" x14ac:dyDescent="0.3">
      <c r="A385">
        <v>8008</v>
      </c>
      <c r="B385" s="207">
        <v>46121</v>
      </c>
      <c r="C385" t="s">
        <v>438</v>
      </c>
      <c r="D385" t="s">
        <v>1333</v>
      </c>
      <c r="E385" t="s">
        <v>1334</v>
      </c>
      <c r="F385" s="207">
        <v>46691</v>
      </c>
      <c r="G385">
        <v>1.05</v>
      </c>
      <c r="H385">
        <v>19360</v>
      </c>
      <c r="I385">
        <v>18708260</v>
      </c>
      <c r="J385">
        <v>3.1850000000000001</v>
      </c>
      <c r="K385">
        <v>10032</v>
      </c>
      <c r="L385">
        <v>19421952</v>
      </c>
      <c r="M385">
        <v>5177</v>
      </c>
      <c r="N385">
        <v>708515</v>
      </c>
      <c r="O385">
        <v>56775</v>
      </c>
      <c r="P385">
        <v>446785</v>
      </c>
      <c r="Q385">
        <v>204955</v>
      </c>
      <c r="S385">
        <v>0</v>
      </c>
      <c r="T385">
        <v>70490</v>
      </c>
      <c r="U385">
        <v>7040</v>
      </c>
      <c r="V385">
        <v>1.5598000000000001</v>
      </c>
      <c r="W385">
        <v>1.5141333333</v>
      </c>
      <c r="X385">
        <v>3.6831666666</v>
      </c>
      <c r="Z385">
        <v>10030.370000000001</v>
      </c>
      <c r="AB385">
        <v>10034.459999999999</v>
      </c>
      <c r="AD385">
        <v>10031.74</v>
      </c>
      <c r="AF385" t="s">
        <v>182</v>
      </c>
      <c r="AG385" t="s">
        <v>185</v>
      </c>
      <c r="AI385" t="s">
        <v>186</v>
      </c>
      <c r="AJ385" t="s">
        <v>1335</v>
      </c>
      <c r="AK385" t="s">
        <v>188</v>
      </c>
    </row>
    <row r="386" spans="1:37" x14ac:dyDescent="0.3">
      <c r="A386">
        <v>8008</v>
      </c>
      <c r="B386" s="207">
        <v>46121</v>
      </c>
      <c r="C386" t="s">
        <v>438</v>
      </c>
      <c r="D386" t="s">
        <v>1336</v>
      </c>
      <c r="E386" t="s">
        <v>1337</v>
      </c>
      <c r="F386" s="207">
        <v>46783</v>
      </c>
      <c r="G386">
        <v>2.5</v>
      </c>
      <c r="H386">
        <v>1298</v>
      </c>
      <c r="I386">
        <v>1285401</v>
      </c>
      <c r="J386">
        <v>3.25</v>
      </c>
      <c r="K386">
        <v>10676</v>
      </c>
      <c r="L386">
        <v>1385744</v>
      </c>
      <c r="M386">
        <v>-6001</v>
      </c>
      <c r="N386">
        <v>106344</v>
      </c>
      <c r="O386">
        <v>9375</v>
      </c>
      <c r="P386">
        <v>41359</v>
      </c>
      <c r="Q386">
        <v>55610</v>
      </c>
      <c r="S386">
        <v>0</v>
      </c>
      <c r="T386">
        <v>7090</v>
      </c>
      <c r="U386">
        <v>700</v>
      </c>
      <c r="V386">
        <v>1.8119000000000001</v>
      </c>
      <c r="W386">
        <v>1.7564333333</v>
      </c>
      <c r="X386">
        <v>4.7390333333000001</v>
      </c>
      <c r="Z386">
        <v>10673.66</v>
      </c>
      <c r="AB386">
        <v>10680.12</v>
      </c>
      <c r="AD386">
        <v>10675.72</v>
      </c>
      <c r="AF386" t="s">
        <v>182</v>
      </c>
      <c r="AG386" t="s">
        <v>185</v>
      </c>
      <c r="AI386" t="s">
        <v>186</v>
      </c>
      <c r="AJ386" t="s">
        <v>1338</v>
      </c>
      <c r="AK386" t="s">
        <v>188</v>
      </c>
    </row>
    <row r="387" spans="1:37" x14ac:dyDescent="0.3">
      <c r="A387">
        <v>8008</v>
      </c>
      <c r="B387" s="207">
        <v>46121</v>
      </c>
      <c r="C387" t="s">
        <v>438</v>
      </c>
      <c r="D387" t="s">
        <v>1339</v>
      </c>
      <c r="E387" t="s">
        <v>1340</v>
      </c>
      <c r="F387" s="207">
        <v>46812</v>
      </c>
      <c r="G387">
        <v>2.5</v>
      </c>
      <c r="H387">
        <v>14675</v>
      </c>
      <c r="I387">
        <v>14519835</v>
      </c>
      <c r="J387">
        <v>3.2709999999999999</v>
      </c>
      <c r="K387">
        <v>10646</v>
      </c>
      <c r="L387">
        <v>15623005</v>
      </c>
      <c r="M387">
        <v>-69094</v>
      </c>
      <c r="N387">
        <v>1172264</v>
      </c>
      <c r="O387">
        <v>105782</v>
      </c>
      <c r="P387">
        <v>649515</v>
      </c>
      <c r="Q387">
        <v>416967</v>
      </c>
      <c r="S387">
        <v>0</v>
      </c>
      <c r="T387">
        <v>105730</v>
      </c>
      <c r="U387">
        <v>10560</v>
      </c>
      <c r="V387">
        <v>1.8895</v>
      </c>
      <c r="W387">
        <v>1.8297666666000001</v>
      </c>
      <c r="X387">
        <v>5.0894666665999999</v>
      </c>
      <c r="Z387">
        <v>10643</v>
      </c>
      <c r="AB387">
        <v>10650.68</v>
      </c>
      <c r="AD387">
        <v>10645.73</v>
      </c>
      <c r="AF387" t="s">
        <v>182</v>
      </c>
      <c r="AG387" t="s">
        <v>185</v>
      </c>
      <c r="AI387" t="s">
        <v>186</v>
      </c>
      <c r="AJ387" t="s">
        <v>1341</v>
      </c>
      <c r="AK387" t="s">
        <v>188</v>
      </c>
    </row>
    <row r="388" spans="1:37" x14ac:dyDescent="0.3">
      <c r="A388">
        <v>8008</v>
      </c>
      <c r="B388" s="207">
        <v>46121</v>
      </c>
      <c r="C388" t="s">
        <v>438</v>
      </c>
      <c r="D388" t="s">
        <v>1342</v>
      </c>
      <c r="E388" t="s">
        <v>1343</v>
      </c>
      <c r="F388" s="207">
        <v>47299</v>
      </c>
      <c r="G388">
        <v>2.5</v>
      </c>
      <c r="H388">
        <v>1375</v>
      </c>
      <c r="I388">
        <v>1339651</v>
      </c>
      <c r="J388">
        <v>3.5569999999999999</v>
      </c>
      <c r="K388">
        <v>10107</v>
      </c>
      <c r="L388">
        <v>1389712</v>
      </c>
      <c r="M388">
        <v>-11653</v>
      </c>
      <c r="N388">
        <v>61714</v>
      </c>
      <c r="O388">
        <v>9590</v>
      </c>
      <c r="P388">
        <v>34716</v>
      </c>
      <c r="Q388">
        <v>17408</v>
      </c>
      <c r="S388">
        <v>0</v>
      </c>
      <c r="T388">
        <v>6200</v>
      </c>
      <c r="U388">
        <v>620</v>
      </c>
      <c r="V388">
        <v>3.2237666666</v>
      </c>
      <c r="W388">
        <v>3.1140666665999999</v>
      </c>
      <c r="X388">
        <v>12.649900000000001</v>
      </c>
      <c r="Z388">
        <v>10107.32</v>
      </c>
      <c r="AB388">
        <v>10109.91</v>
      </c>
      <c r="AD388">
        <v>10106.370000000001</v>
      </c>
      <c r="AF388" t="s">
        <v>182</v>
      </c>
      <c r="AG388" t="s">
        <v>185</v>
      </c>
      <c r="AI388" t="s">
        <v>186</v>
      </c>
      <c r="AJ388" t="s">
        <v>1344</v>
      </c>
      <c r="AK388" t="s">
        <v>188</v>
      </c>
    </row>
    <row r="389" spans="1:37" x14ac:dyDescent="0.3">
      <c r="A389">
        <v>8008</v>
      </c>
      <c r="B389" s="207">
        <v>46121</v>
      </c>
      <c r="C389" t="s">
        <v>438</v>
      </c>
      <c r="D389" t="s">
        <v>1345</v>
      </c>
      <c r="E389" t="s">
        <v>1346</v>
      </c>
      <c r="F389" s="207">
        <v>47391</v>
      </c>
      <c r="G389">
        <v>2.5</v>
      </c>
      <c r="H389">
        <v>4000</v>
      </c>
      <c r="I389">
        <v>3886924</v>
      </c>
      <c r="J389">
        <v>3.5619999999999998</v>
      </c>
      <c r="K389">
        <v>10016</v>
      </c>
      <c r="L389">
        <v>4006400</v>
      </c>
      <c r="M389">
        <v>-34126</v>
      </c>
      <c r="N389">
        <v>153602</v>
      </c>
      <c r="O389">
        <v>27726</v>
      </c>
      <c r="P389">
        <v>77144</v>
      </c>
      <c r="Q389">
        <v>48732</v>
      </c>
      <c r="S389">
        <v>0</v>
      </c>
      <c r="T389">
        <v>14680</v>
      </c>
      <c r="U389">
        <v>1460</v>
      </c>
      <c r="V389">
        <v>3.4758</v>
      </c>
      <c r="W389">
        <v>3.3581333333000001</v>
      </c>
      <c r="X389">
        <v>14.4421666666</v>
      </c>
      <c r="Z389">
        <v>10015.120000000001</v>
      </c>
      <c r="AB389">
        <v>10020.58</v>
      </c>
      <c r="AD389">
        <v>10015.120000000001</v>
      </c>
      <c r="AF389" t="s">
        <v>182</v>
      </c>
      <c r="AG389" t="s">
        <v>185</v>
      </c>
      <c r="AI389" t="s">
        <v>186</v>
      </c>
      <c r="AJ389" t="s">
        <v>1347</v>
      </c>
      <c r="AK389" t="s">
        <v>188</v>
      </c>
    </row>
    <row r="390" spans="1:37" x14ac:dyDescent="0.3">
      <c r="A390">
        <v>8008</v>
      </c>
      <c r="B390" s="207">
        <v>46121</v>
      </c>
      <c r="C390" t="s">
        <v>438</v>
      </c>
      <c r="D390" t="s">
        <v>1348</v>
      </c>
      <c r="E390" t="s">
        <v>1349</v>
      </c>
      <c r="F390" s="207">
        <v>47452</v>
      </c>
      <c r="G390">
        <v>2.5</v>
      </c>
      <c r="H390">
        <v>173299</v>
      </c>
      <c r="I390">
        <v>168096331</v>
      </c>
      <c r="J390">
        <v>3.5670000000000002</v>
      </c>
      <c r="K390">
        <v>9956</v>
      </c>
      <c r="L390">
        <v>172536484</v>
      </c>
      <c r="M390">
        <v>-1473535</v>
      </c>
      <c r="N390">
        <v>5913688</v>
      </c>
      <c r="O390">
        <v>1196257</v>
      </c>
      <c r="P390">
        <v>2423871</v>
      </c>
      <c r="Q390">
        <v>2293560</v>
      </c>
      <c r="S390">
        <v>0</v>
      </c>
      <c r="T390">
        <v>506800</v>
      </c>
      <c r="U390">
        <v>50660</v>
      </c>
      <c r="V390">
        <v>3.6429</v>
      </c>
      <c r="W390">
        <v>3.5191333333000001</v>
      </c>
      <c r="X390">
        <v>15.711333333300001</v>
      </c>
      <c r="Z390">
        <v>9953.58</v>
      </c>
      <c r="AB390">
        <v>9962.07</v>
      </c>
      <c r="AD390">
        <v>9954.98</v>
      </c>
      <c r="AF390" t="s">
        <v>182</v>
      </c>
      <c r="AG390" t="s">
        <v>185</v>
      </c>
      <c r="AI390" t="s">
        <v>186</v>
      </c>
      <c r="AJ390" t="s">
        <v>1350</v>
      </c>
      <c r="AK390" t="s">
        <v>188</v>
      </c>
    </row>
    <row r="391" spans="1:37" x14ac:dyDescent="0.3">
      <c r="A391">
        <v>8008</v>
      </c>
      <c r="B391" s="207">
        <v>46121</v>
      </c>
      <c r="C391" t="s">
        <v>438</v>
      </c>
      <c r="D391" t="s">
        <v>1351</v>
      </c>
      <c r="E391" t="s">
        <v>1352</v>
      </c>
      <c r="F391" s="207">
        <v>47483</v>
      </c>
      <c r="G391">
        <v>2.5</v>
      </c>
      <c r="H391">
        <v>164169</v>
      </c>
      <c r="I391">
        <v>159101212</v>
      </c>
      <c r="J391">
        <v>3.57</v>
      </c>
      <c r="K391">
        <v>9926</v>
      </c>
      <c r="L391">
        <v>162954148</v>
      </c>
      <c r="M391">
        <v>-1393532</v>
      </c>
      <c r="N391">
        <v>5246468</v>
      </c>
      <c r="O391">
        <v>1130861</v>
      </c>
      <c r="P391">
        <v>2922919</v>
      </c>
      <c r="Q391">
        <v>1192688</v>
      </c>
      <c r="S391">
        <v>0</v>
      </c>
      <c r="T391">
        <v>567500</v>
      </c>
      <c r="U391">
        <v>56720</v>
      </c>
      <c r="V391">
        <v>3.7278666666000002</v>
      </c>
      <c r="W391">
        <v>3.6006666666</v>
      </c>
      <c r="X391">
        <v>16.380533333300001</v>
      </c>
      <c r="Z391">
        <v>9921.9599999999991</v>
      </c>
      <c r="AB391">
        <v>9932.41</v>
      </c>
      <c r="AD391">
        <v>9924.82</v>
      </c>
      <c r="AF391" t="s">
        <v>182</v>
      </c>
      <c r="AG391" t="s">
        <v>185</v>
      </c>
      <c r="AI391" t="s">
        <v>186</v>
      </c>
      <c r="AJ391" t="s">
        <v>1353</v>
      </c>
      <c r="AK391" t="s">
        <v>188</v>
      </c>
    </row>
    <row r="392" spans="1:37" x14ac:dyDescent="0.3">
      <c r="A392">
        <v>8008</v>
      </c>
      <c r="B392" s="207">
        <v>46121</v>
      </c>
      <c r="C392" t="s">
        <v>438</v>
      </c>
      <c r="D392" t="s">
        <v>1354</v>
      </c>
      <c r="E392" t="s">
        <v>1355</v>
      </c>
      <c r="F392" s="207">
        <v>47269</v>
      </c>
      <c r="G392">
        <v>2.5</v>
      </c>
      <c r="H392">
        <v>31405</v>
      </c>
      <c r="I392">
        <v>30625606</v>
      </c>
      <c r="J392">
        <v>3.5539999999999998</v>
      </c>
      <c r="K392">
        <v>10138</v>
      </c>
      <c r="L392">
        <v>31838388</v>
      </c>
      <c r="M392">
        <v>-263452</v>
      </c>
      <c r="N392">
        <v>1476234</v>
      </c>
      <c r="O392">
        <v>219485</v>
      </c>
      <c r="P392">
        <v>1001595</v>
      </c>
      <c r="Q392">
        <v>255154</v>
      </c>
      <c r="S392">
        <v>0</v>
      </c>
      <c r="T392">
        <v>170940</v>
      </c>
      <c r="U392">
        <v>17080</v>
      </c>
      <c r="V392">
        <v>3.1415666666000002</v>
      </c>
      <c r="W392">
        <v>3.0341999999999998</v>
      </c>
      <c r="X392">
        <v>12.098100000000001</v>
      </c>
      <c r="Z392">
        <v>10137.969999999999</v>
      </c>
      <c r="AB392">
        <v>10139.58</v>
      </c>
      <c r="AD392">
        <v>10136.73</v>
      </c>
      <c r="AF392" t="s">
        <v>182</v>
      </c>
      <c r="AG392" t="s">
        <v>185</v>
      </c>
      <c r="AI392" t="s">
        <v>186</v>
      </c>
      <c r="AJ392" t="s">
        <v>1356</v>
      </c>
      <c r="AK392" t="s">
        <v>188</v>
      </c>
    </row>
    <row r="393" spans="1:37" x14ac:dyDescent="0.3">
      <c r="A393">
        <v>8008</v>
      </c>
      <c r="B393" s="207">
        <v>46121</v>
      </c>
      <c r="C393" t="s">
        <v>438</v>
      </c>
      <c r="D393" t="s">
        <v>1357</v>
      </c>
      <c r="E393" t="s">
        <v>1358</v>
      </c>
      <c r="F393" s="207">
        <v>46203</v>
      </c>
      <c r="G393">
        <v>1.05</v>
      </c>
      <c r="H393">
        <v>170</v>
      </c>
      <c r="I393">
        <v>166168</v>
      </c>
      <c r="J393">
        <v>2.69</v>
      </c>
      <c r="K393">
        <v>10473</v>
      </c>
      <c r="L393">
        <v>178041</v>
      </c>
      <c r="M393">
        <v>3174</v>
      </c>
      <c r="N393">
        <v>8699</v>
      </c>
      <c r="O393">
        <v>421</v>
      </c>
      <c r="P393">
        <v>737</v>
      </c>
      <c r="Q393">
        <v>7541</v>
      </c>
      <c r="S393">
        <v>0</v>
      </c>
      <c r="T393">
        <v>150</v>
      </c>
      <c r="U393">
        <v>10</v>
      </c>
      <c r="V393">
        <v>0.22283333329999999</v>
      </c>
      <c r="W393">
        <v>0.2185</v>
      </c>
      <c r="X393">
        <v>0.2051</v>
      </c>
      <c r="Z393">
        <v>10473.31</v>
      </c>
      <c r="AB393">
        <v>10474.17</v>
      </c>
      <c r="AD393">
        <v>10473.06</v>
      </c>
      <c r="AF393" t="s">
        <v>182</v>
      </c>
      <c r="AG393" t="s">
        <v>185</v>
      </c>
      <c r="AI393" t="s">
        <v>186</v>
      </c>
      <c r="AJ393" t="s">
        <v>1359</v>
      </c>
      <c r="AK393" t="s">
        <v>188</v>
      </c>
    </row>
    <row r="394" spans="1:37" x14ac:dyDescent="0.3">
      <c r="A394">
        <v>8008</v>
      </c>
      <c r="B394" s="207">
        <v>46121</v>
      </c>
      <c r="C394" t="s">
        <v>438</v>
      </c>
      <c r="D394" t="s">
        <v>1360</v>
      </c>
      <c r="E394" t="s">
        <v>1361</v>
      </c>
      <c r="F394" s="207">
        <v>46265</v>
      </c>
      <c r="G394">
        <v>1.05</v>
      </c>
      <c r="H394">
        <v>44760</v>
      </c>
      <c r="I394">
        <v>44283633</v>
      </c>
      <c r="J394">
        <v>2.7730000000000001</v>
      </c>
      <c r="K394">
        <v>10422</v>
      </c>
      <c r="L394">
        <v>46648872</v>
      </c>
      <c r="M394">
        <v>158066</v>
      </c>
      <c r="N394">
        <v>2207173</v>
      </c>
      <c r="O394">
        <v>132874</v>
      </c>
      <c r="P394">
        <v>2035856</v>
      </c>
      <c r="Q394">
        <v>38443</v>
      </c>
      <c r="S394">
        <v>0</v>
      </c>
      <c r="T394">
        <v>303620</v>
      </c>
      <c r="U394">
        <v>30360</v>
      </c>
      <c r="V394">
        <v>0.39269999999999999</v>
      </c>
      <c r="W394">
        <v>0.38419999999999999</v>
      </c>
      <c r="X394">
        <v>0.44579999999999997</v>
      </c>
      <c r="Z394">
        <v>10421.75</v>
      </c>
      <c r="AB394">
        <v>10423.59</v>
      </c>
      <c r="AD394">
        <v>10423.040000000001</v>
      </c>
      <c r="AF394" t="s">
        <v>182</v>
      </c>
      <c r="AG394" t="s">
        <v>185</v>
      </c>
      <c r="AI394" t="s">
        <v>186</v>
      </c>
      <c r="AJ394" t="s">
        <v>1362</v>
      </c>
      <c r="AK394" t="s">
        <v>188</v>
      </c>
    </row>
    <row r="395" spans="1:37" x14ac:dyDescent="0.3">
      <c r="A395">
        <v>8008</v>
      </c>
      <c r="B395" s="207">
        <v>46121</v>
      </c>
      <c r="C395" t="s">
        <v>438</v>
      </c>
      <c r="D395" t="s">
        <v>1363</v>
      </c>
      <c r="E395" t="s">
        <v>1364</v>
      </c>
      <c r="F395" s="207">
        <v>46418</v>
      </c>
      <c r="G395">
        <v>1.05</v>
      </c>
      <c r="H395">
        <v>24181</v>
      </c>
      <c r="I395">
        <v>23741599</v>
      </c>
      <c r="J395">
        <v>2.915</v>
      </c>
      <c r="K395">
        <v>10292</v>
      </c>
      <c r="L395">
        <v>24887085</v>
      </c>
      <c r="M395">
        <v>63943</v>
      </c>
      <c r="N395">
        <v>1081543</v>
      </c>
      <c r="O395">
        <v>71471</v>
      </c>
      <c r="P395">
        <v>994771</v>
      </c>
      <c r="Q395">
        <v>15301</v>
      </c>
      <c r="S395">
        <v>0</v>
      </c>
      <c r="T395">
        <v>149260</v>
      </c>
      <c r="U395">
        <v>14920</v>
      </c>
      <c r="V395">
        <v>0.81189999999999996</v>
      </c>
      <c r="W395">
        <v>0.7903</v>
      </c>
      <c r="X395">
        <v>1.3450666666</v>
      </c>
      <c r="Z395">
        <v>10292.44</v>
      </c>
      <c r="AB395">
        <v>10293.469999999999</v>
      </c>
      <c r="AD395">
        <v>10292.27</v>
      </c>
      <c r="AF395" t="s">
        <v>182</v>
      </c>
      <c r="AG395" t="s">
        <v>185</v>
      </c>
      <c r="AI395" t="s">
        <v>186</v>
      </c>
      <c r="AJ395" t="s">
        <v>1365</v>
      </c>
      <c r="AK395" t="s">
        <v>188</v>
      </c>
    </row>
    <row r="396" spans="1:37" x14ac:dyDescent="0.3">
      <c r="A396">
        <v>8008</v>
      </c>
      <c r="B396" s="207">
        <v>46121</v>
      </c>
      <c r="C396" t="s">
        <v>438</v>
      </c>
      <c r="D396" t="s">
        <v>1366</v>
      </c>
      <c r="E396" t="s">
        <v>1367</v>
      </c>
      <c r="F396" s="207">
        <v>46507</v>
      </c>
      <c r="G396">
        <v>1.05</v>
      </c>
      <c r="H396">
        <v>51000</v>
      </c>
      <c r="I396">
        <v>49820807</v>
      </c>
      <c r="J396">
        <v>3.02</v>
      </c>
      <c r="K396">
        <v>10210</v>
      </c>
      <c r="L396">
        <v>52071000</v>
      </c>
      <c r="M396">
        <v>104646</v>
      </c>
      <c r="N396">
        <v>2145547</v>
      </c>
      <c r="O396">
        <v>150354</v>
      </c>
      <c r="P396">
        <v>894720</v>
      </c>
      <c r="Q396">
        <v>1100473</v>
      </c>
      <c r="S396">
        <v>0</v>
      </c>
      <c r="T396">
        <v>146310</v>
      </c>
      <c r="U396">
        <v>14630</v>
      </c>
      <c r="V396">
        <v>1.0557000000000001</v>
      </c>
      <c r="W396">
        <v>1.0252666666000001</v>
      </c>
      <c r="X396">
        <v>2.0296666665999998</v>
      </c>
      <c r="Z396">
        <v>10210.969999999999</v>
      </c>
      <c r="AB396">
        <v>10209.64</v>
      </c>
      <c r="AD396">
        <v>10210.030000000001</v>
      </c>
      <c r="AF396" t="s">
        <v>182</v>
      </c>
      <c r="AG396" t="s">
        <v>185</v>
      </c>
      <c r="AI396" t="s">
        <v>186</v>
      </c>
      <c r="AJ396" t="s">
        <v>1368</v>
      </c>
      <c r="AK396" t="s">
        <v>188</v>
      </c>
    </row>
    <row r="397" spans="1:37" x14ac:dyDescent="0.3">
      <c r="A397">
        <v>8008</v>
      </c>
      <c r="B397" s="207">
        <v>46121</v>
      </c>
      <c r="C397" t="s">
        <v>438</v>
      </c>
      <c r="D397" t="s">
        <v>1369</v>
      </c>
      <c r="E397" t="s">
        <v>1370</v>
      </c>
      <c r="F397" s="207">
        <v>46538</v>
      </c>
      <c r="G397">
        <v>1.05</v>
      </c>
      <c r="H397">
        <v>86000</v>
      </c>
      <c r="I397">
        <v>83858599</v>
      </c>
      <c r="J397">
        <v>3.0489999999999999</v>
      </c>
      <c r="K397">
        <v>10180</v>
      </c>
      <c r="L397">
        <v>87548000</v>
      </c>
      <c r="M397">
        <v>150889</v>
      </c>
      <c r="N397">
        <v>3538512</v>
      </c>
      <c r="O397">
        <v>253311</v>
      </c>
      <c r="P397">
        <v>2557787</v>
      </c>
      <c r="Q397">
        <v>727414</v>
      </c>
      <c r="S397">
        <v>0</v>
      </c>
      <c r="T397">
        <v>393540</v>
      </c>
      <c r="U397">
        <v>39340</v>
      </c>
      <c r="V397">
        <v>1.1406333333000001</v>
      </c>
      <c r="W397">
        <v>1.1080666666000001</v>
      </c>
      <c r="X397">
        <v>2.2645333333000002</v>
      </c>
      <c r="Z397">
        <v>10181.450000000001</v>
      </c>
      <c r="AB397">
        <v>10180.68</v>
      </c>
      <c r="AD397">
        <v>10180.66</v>
      </c>
      <c r="AF397" t="s">
        <v>182</v>
      </c>
      <c r="AG397" t="s">
        <v>185</v>
      </c>
      <c r="AI397" t="s">
        <v>186</v>
      </c>
      <c r="AJ397" t="s">
        <v>1371</v>
      </c>
      <c r="AK397" t="s">
        <v>188</v>
      </c>
    </row>
    <row r="398" spans="1:37" x14ac:dyDescent="0.3">
      <c r="A398">
        <v>8008</v>
      </c>
      <c r="B398" s="207">
        <v>46121</v>
      </c>
      <c r="C398" t="s">
        <v>438</v>
      </c>
      <c r="D398" t="s">
        <v>1372</v>
      </c>
      <c r="E398" t="s">
        <v>1373</v>
      </c>
      <c r="F398" s="207">
        <v>46568</v>
      </c>
      <c r="G398">
        <v>1.05</v>
      </c>
      <c r="H398">
        <v>50000</v>
      </c>
      <c r="I398">
        <v>48664546</v>
      </c>
      <c r="J398">
        <v>3.0779999999999998</v>
      </c>
      <c r="K398">
        <v>10152</v>
      </c>
      <c r="L398">
        <v>50760000</v>
      </c>
      <c r="M398">
        <v>82852</v>
      </c>
      <c r="N398">
        <v>2012602</v>
      </c>
      <c r="O398">
        <v>147148</v>
      </c>
      <c r="P398">
        <v>875468</v>
      </c>
      <c r="Q398">
        <v>989986</v>
      </c>
      <c r="S398">
        <v>0</v>
      </c>
      <c r="T398">
        <v>143160</v>
      </c>
      <c r="U398">
        <v>14310</v>
      </c>
      <c r="V398">
        <v>1.2228333333000001</v>
      </c>
      <c r="W398">
        <v>1.1880333332999999</v>
      </c>
      <c r="X398">
        <v>2.5088333333000001</v>
      </c>
      <c r="Z398">
        <v>10151.92</v>
      </c>
      <c r="AB398">
        <v>10152.41</v>
      </c>
      <c r="AD398">
        <v>10151.92</v>
      </c>
      <c r="AF398" t="s">
        <v>182</v>
      </c>
      <c r="AG398" t="s">
        <v>185</v>
      </c>
      <c r="AI398" t="s">
        <v>186</v>
      </c>
      <c r="AJ398" t="s">
        <v>1374</v>
      </c>
      <c r="AK398" t="s">
        <v>188</v>
      </c>
    </row>
    <row r="399" spans="1:37" x14ac:dyDescent="0.3">
      <c r="A399">
        <v>8008</v>
      </c>
      <c r="B399" s="207">
        <v>46121</v>
      </c>
      <c r="C399" t="s">
        <v>438</v>
      </c>
      <c r="D399" t="s">
        <v>1375</v>
      </c>
      <c r="E399" t="s">
        <v>1376</v>
      </c>
      <c r="F399" s="207">
        <v>46599</v>
      </c>
      <c r="G399">
        <v>1.05</v>
      </c>
      <c r="H399">
        <v>8374</v>
      </c>
      <c r="I399">
        <v>8135431</v>
      </c>
      <c r="J399">
        <v>3.1059999999999999</v>
      </c>
      <c r="K399">
        <v>10122</v>
      </c>
      <c r="L399">
        <v>8476162</v>
      </c>
      <c r="M399">
        <v>11385</v>
      </c>
      <c r="N399">
        <v>329346</v>
      </c>
      <c r="O399">
        <v>24623</v>
      </c>
      <c r="P399">
        <v>280244</v>
      </c>
      <c r="Q399">
        <v>24479</v>
      </c>
      <c r="S399">
        <v>0</v>
      </c>
      <c r="T399">
        <v>42680</v>
      </c>
      <c r="U399">
        <v>4260</v>
      </c>
      <c r="V399">
        <v>1.3077333333000001</v>
      </c>
      <c r="W399">
        <v>1.2705</v>
      </c>
      <c r="X399">
        <v>2.7788333333000002</v>
      </c>
      <c r="Z399">
        <v>10121.36</v>
      </c>
      <c r="AB399">
        <v>10122.91</v>
      </c>
      <c r="AD399">
        <v>10122</v>
      </c>
      <c r="AF399" t="s">
        <v>182</v>
      </c>
      <c r="AG399" t="s">
        <v>185</v>
      </c>
      <c r="AI399" t="s">
        <v>186</v>
      </c>
      <c r="AJ399" t="s">
        <v>1377</v>
      </c>
      <c r="AK399" t="s">
        <v>188</v>
      </c>
    </row>
    <row r="400" spans="1:37" x14ac:dyDescent="0.3">
      <c r="A400">
        <v>8008</v>
      </c>
      <c r="B400" s="207">
        <v>46121</v>
      </c>
      <c r="C400" t="s">
        <v>438</v>
      </c>
      <c r="D400" t="s">
        <v>1378</v>
      </c>
      <c r="E400" t="s">
        <v>1379</v>
      </c>
      <c r="F400" s="207">
        <v>46630</v>
      </c>
      <c r="G400">
        <v>1.05</v>
      </c>
      <c r="H400">
        <v>99990</v>
      </c>
      <c r="I400">
        <v>96973276</v>
      </c>
      <c r="J400">
        <v>3.1349999999999998</v>
      </c>
      <c r="K400">
        <v>10091</v>
      </c>
      <c r="L400">
        <v>100899909</v>
      </c>
      <c r="M400">
        <v>86217</v>
      </c>
      <c r="N400">
        <v>3840416</v>
      </c>
      <c r="O400">
        <v>293745</v>
      </c>
      <c r="P400">
        <v>2973289</v>
      </c>
      <c r="Q400">
        <v>573382</v>
      </c>
      <c r="S400">
        <v>0</v>
      </c>
      <c r="T400">
        <v>457380</v>
      </c>
      <c r="U400">
        <v>45730</v>
      </c>
      <c r="V400">
        <v>1.3927</v>
      </c>
      <c r="W400">
        <v>1.3527333333</v>
      </c>
      <c r="X400">
        <v>3.0663666666</v>
      </c>
      <c r="Z400">
        <v>10090.549999999999</v>
      </c>
      <c r="AB400">
        <v>10093.290000000001</v>
      </c>
      <c r="AD400">
        <v>10091.64</v>
      </c>
      <c r="AF400" t="s">
        <v>182</v>
      </c>
      <c r="AG400" t="s">
        <v>185</v>
      </c>
      <c r="AI400" t="s">
        <v>186</v>
      </c>
      <c r="AJ400" t="s">
        <v>1380</v>
      </c>
      <c r="AK400" t="s">
        <v>188</v>
      </c>
    </row>
    <row r="401" spans="1:37" x14ac:dyDescent="0.3">
      <c r="A401">
        <v>8008</v>
      </c>
      <c r="B401" s="207">
        <v>46121</v>
      </c>
      <c r="C401" t="s">
        <v>438</v>
      </c>
      <c r="D401" t="s">
        <v>1381</v>
      </c>
      <c r="E401" t="s">
        <v>1382</v>
      </c>
      <c r="F401" s="207">
        <v>46691</v>
      </c>
      <c r="G401">
        <v>1.05</v>
      </c>
      <c r="H401">
        <v>69632</v>
      </c>
      <c r="I401">
        <v>67287891</v>
      </c>
      <c r="J401">
        <v>3.1850000000000001</v>
      </c>
      <c r="K401">
        <v>10032</v>
      </c>
      <c r="L401">
        <v>69854822</v>
      </c>
      <c r="M401">
        <v>18617</v>
      </c>
      <c r="N401">
        <v>2548314</v>
      </c>
      <c r="O401">
        <v>204205</v>
      </c>
      <c r="P401">
        <v>2081901</v>
      </c>
      <c r="Q401">
        <v>262208</v>
      </c>
      <c r="S401">
        <v>0</v>
      </c>
      <c r="T401">
        <v>320040</v>
      </c>
      <c r="U401">
        <v>31990</v>
      </c>
      <c r="V401">
        <v>1.5598000000000001</v>
      </c>
      <c r="W401">
        <v>1.5141333333</v>
      </c>
      <c r="X401">
        <v>3.6831666666</v>
      </c>
      <c r="Z401">
        <v>10030.370000000001</v>
      </c>
      <c r="AB401">
        <v>10034.459999999999</v>
      </c>
      <c r="AD401">
        <v>10031.74</v>
      </c>
      <c r="AF401" t="s">
        <v>182</v>
      </c>
      <c r="AG401" t="s">
        <v>185</v>
      </c>
      <c r="AI401" t="s">
        <v>186</v>
      </c>
      <c r="AJ401" t="s">
        <v>1383</v>
      </c>
      <c r="AK401" t="s">
        <v>188</v>
      </c>
    </row>
    <row r="402" spans="1:37" x14ac:dyDescent="0.3">
      <c r="A402">
        <v>8008</v>
      </c>
      <c r="B402" s="207">
        <v>46121</v>
      </c>
      <c r="C402" t="s">
        <v>438</v>
      </c>
      <c r="D402" t="s">
        <v>1384</v>
      </c>
      <c r="E402" t="s">
        <v>1385</v>
      </c>
      <c r="F402" s="207">
        <v>46783</v>
      </c>
      <c r="G402">
        <v>2.5</v>
      </c>
      <c r="H402">
        <v>90644</v>
      </c>
      <c r="I402">
        <v>89764096</v>
      </c>
      <c r="J402">
        <v>3.25</v>
      </c>
      <c r="K402">
        <v>10676</v>
      </c>
      <c r="L402">
        <v>96771533</v>
      </c>
      <c r="M402">
        <v>-418953</v>
      </c>
      <c r="N402">
        <v>7426390</v>
      </c>
      <c r="O402">
        <v>654626</v>
      </c>
      <c r="P402">
        <v>6251565</v>
      </c>
      <c r="Q402">
        <v>520199</v>
      </c>
      <c r="S402">
        <v>0</v>
      </c>
      <c r="T402">
        <v>966860</v>
      </c>
      <c r="U402">
        <v>96680</v>
      </c>
      <c r="V402">
        <v>1.8119000000000001</v>
      </c>
      <c r="W402">
        <v>1.7564333333</v>
      </c>
      <c r="X402">
        <v>4.7390333333000001</v>
      </c>
      <c r="Z402">
        <v>10673.66</v>
      </c>
      <c r="AB402">
        <v>10680.12</v>
      </c>
      <c r="AD402">
        <v>10675.72</v>
      </c>
      <c r="AF402" t="s">
        <v>182</v>
      </c>
      <c r="AG402" t="s">
        <v>185</v>
      </c>
      <c r="AI402" t="s">
        <v>186</v>
      </c>
      <c r="AJ402" t="s">
        <v>1386</v>
      </c>
      <c r="AK402" t="s">
        <v>188</v>
      </c>
    </row>
    <row r="403" spans="1:37" x14ac:dyDescent="0.3">
      <c r="A403">
        <v>8008</v>
      </c>
      <c r="B403" s="207">
        <v>46121</v>
      </c>
      <c r="C403" t="s">
        <v>438</v>
      </c>
      <c r="D403" t="s">
        <v>1387</v>
      </c>
      <c r="E403" t="s">
        <v>1388</v>
      </c>
      <c r="F403" s="207">
        <v>46934</v>
      </c>
      <c r="G403">
        <v>2.5</v>
      </c>
      <c r="H403">
        <v>5406</v>
      </c>
      <c r="I403">
        <v>5327308</v>
      </c>
      <c r="J403">
        <v>3.3290000000000002</v>
      </c>
      <c r="K403">
        <v>10518</v>
      </c>
      <c r="L403">
        <v>5686030</v>
      </c>
      <c r="M403">
        <v>-25134</v>
      </c>
      <c r="N403">
        <v>383856</v>
      </c>
      <c r="O403">
        <v>38649</v>
      </c>
      <c r="P403">
        <v>320650</v>
      </c>
      <c r="Q403">
        <v>24557</v>
      </c>
      <c r="S403">
        <v>0</v>
      </c>
      <c r="T403">
        <v>50280</v>
      </c>
      <c r="U403">
        <v>5010</v>
      </c>
      <c r="V403">
        <v>2.2237666666</v>
      </c>
      <c r="W403">
        <v>2.1530333332999998</v>
      </c>
      <c r="X403">
        <v>6.6643333333000001</v>
      </c>
      <c r="Z403">
        <v>10516.97</v>
      </c>
      <c r="AB403">
        <v>10522.72</v>
      </c>
      <c r="AD403">
        <v>10516.97</v>
      </c>
      <c r="AF403" t="s">
        <v>182</v>
      </c>
      <c r="AG403" t="s">
        <v>185</v>
      </c>
      <c r="AI403" t="s">
        <v>186</v>
      </c>
      <c r="AJ403" t="s">
        <v>1389</v>
      </c>
      <c r="AK403" t="s">
        <v>188</v>
      </c>
    </row>
    <row r="404" spans="1:37" x14ac:dyDescent="0.3">
      <c r="A404">
        <v>8008</v>
      </c>
      <c r="B404" s="207">
        <v>46121</v>
      </c>
      <c r="C404" t="s">
        <v>438</v>
      </c>
      <c r="D404" t="s">
        <v>1390</v>
      </c>
      <c r="E404" t="s">
        <v>1391</v>
      </c>
      <c r="F404" s="207">
        <v>46965</v>
      </c>
      <c r="G404">
        <v>2.5</v>
      </c>
      <c r="H404">
        <v>3432</v>
      </c>
      <c r="I404">
        <v>3378709</v>
      </c>
      <c r="J404">
        <v>3.3410000000000002</v>
      </c>
      <c r="K404">
        <v>10486</v>
      </c>
      <c r="L404">
        <v>3598795</v>
      </c>
      <c r="M404">
        <v>-15905</v>
      </c>
      <c r="N404">
        <v>235991</v>
      </c>
      <c r="O404">
        <v>24485</v>
      </c>
      <c r="P404">
        <v>204326</v>
      </c>
      <c r="Q404">
        <v>7180</v>
      </c>
      <c r="S404">
        <v>0</v>
      </c>
      <c r="T404">
        <v>32030</v>
      </c>
      <c r="U404">
        <v>3200</v>
      </c>
      <c r="V404">
        <v>2.3086666666000002</v>
      </c>
      <c r="W404">
        <v>2.2354333333</v>
      </c>
      <c r="X404">
        <v>7.0929333333000004</v>
      </c>
      <c r="Z404">
        <v>10485.34</v>
      </c>
      <c r="AB404">
        <v>10490.35</v>
      </c>
      <c r="AD404">
        <v>10484.4</v>
      </c>
      <c r="AF404" t="s">
        <v>182</v>
      </c>
      <c r="AG404" t="s">
        <v>185</v>
      </c>
      <c r="AI404" t="s">
        <v>186</v>
      </c>
      <c r="AJ404" t="s">
        <v>1392</v>
      </c>
      <c r="AK404" t="s">
        <v>188</v>
      </c>
    </row>
    <row r="405" spans="1:37" x14ac:dyDescent="0.3">
      <c r="A405">
        <v>8008</v>
      </c>
      <c r="B405" s="207">
        <v>46121</v>
      </c>
      <c r="C405" t="s">
        <v>438</v>
      </c>
      <c r="D405" t="s">
        <v>1393</v>
      </c>
      <c r="E405" t="s">
        <v>1394</v>
      </c>
      <c r="F405" s="207">
        <v>47057</v>
      </c>
      <c r="G405">
        <v>2.5</v>
      </c>
      <c r="H405">
        <v>8843</v>
      </c>
      <c r="I405">
        <v>8679042</v>
      </c>
      <c r="J405">
        <v>3.3929999999999998</v>
      </c>
      <c r="K405">
        <v>10386</v>
      </c>
      <c r="L405">
        <v>9184339</v>
      </c>
      <c r="M405">
        <v>-44125</v>
      </c>
      <c r="N405">
        <v>549422</v>
      </c>
      <c r="O405">
        <v>62695</v>
      </c>
      <c r="P405">
        <v>468811</v>
      </c>
      <c r="Q405">
        <v>17916</v>
      </c>
      <c r="S405">
        <v>0</v>
      </c>
      <c r="T405">
        <v>74410</v>
      </c>
      <c r="U405">
        <v>7440</v>
      </c>
      <c r="V405">
        <v>2.5607000000000002</v>
      </c>
      <c r="W405">
        <v>2.4784666666000001</v>
      </c>
      <c r="X405">
        <v>8.4631333333000001</v>
      </c>
      <c r="Z405">
        <v>10385.35</v>
      </c>
      <c r="AB405">
        <v>10390.07</v>
      </c>
      <c r="AD405">
        <v>10384.06</v>
      </c>
      <c r="AF405" t="s">
        <v>182</v>
      </c>
      <c r="AG405" t="s">
        <v>185</v>
      </c>
      <c r="AI405" t="s">
        <v>186</v>
      </c>
      <c r="AJ405" t="s">
        <v>1395</v>
      </c>
      <c r="AK405" t="s">
        <v>188</v>
      </c>
    </row>
    <row r="406" spans="1:37" x14ac:dyDescent="0.3">
      <c r="A406">
        <v>8008</v>
      </c>
      <c r="B406" s="207">
        <v>46121</v>
      </c>
      <c r="C406" t="s">
        <v>438</v>
      </c>
      <c r="D406" t="s">
        <v>1396</v>
      </c>
      <c r="E406" t="s">
        <v>1397</v>
      </c>
      <c r="F406" s="207">
        <v>47087</v>
      </c>
      <c r="G406">
        <v>2.5</v>
      </c>
      <c r="H406">
        <v>17586</v>
      </c>
      <c r="I406">
        <v>17241281</v>
      </c>
      <c r="J406">
        <v>3.4239999999999999</v>
      </c>
      <c r="K406">
        <v>10350</v>
      </c>
      <c r="L406">
        <v>18201510</v>
      </c>
      <c r="M406">
        <v>-94532</v>
      </c>
      <c r="N406">
        <v>1054761</v>
      </c>
      <c r="O406">
        <v>124429</v>
      </c>
      <c r="P406">
        <v>899068</v>
      </c>
      <c r="Q406">
        <v>31264</v>
      </c>
      <c r="S406">
        <v>0</v>
      </c>
      <c r="T406">
        <v>143280</v>
      </c>
      <c r="U406">
        <v>14320</v>
      </c>
      <c r="V406">
        <v>2.6429</v>
      </c>
      <c r="W406">
        <v>2.5570333333000002</v>
      </c>
      <c r="X406">
        <v>8.9396666666000009</v>
      </c>
      <c r="Z406">
        <v>10348.48</v>
      </c>
      <c r="AB406">
        <v>10353.59</v>
      </c>
      <c r="AD406">
        <v>10348.209999999999</v>
      </c>
      <c r="AF406" t="s">
        <v>182</v>
      </c>
      <c r="AG406" t="s">
        <v>185</v>
      </c>
      <c r="AI406" t="s">
        <v>186</v>
      </c>
      <c r="AJ406" t="s">
        <v>1398</v>
      </c>
      <c r="AK406" t="s">
        <v>188</v>
      </c>
    </row>
    <row r="407" spans="1:37" x14ac:dyDescent="0.3">
      <c r="A407">
        <v>8008</v>
      </c>
      <c r="B407" s="207">
        <v>46121</v>
      </c>
      <c r="C407" t="s">
        <v>438</v>
      </c>
      <c r="D407" t="s">
        <v>1399</v>
      </c>
      <c r="E407" t="s">
        <v>1400</v>
      </c>
      <c r="F407" s="207">
        <v>47118</v>
      </c>
      <c r="G407">
        <v>2.5</v>
      </c>
      <c r="H407">
        <v>5437</v>
      </c>
      <c r="I407">
        <v>5325020</v>
      </c>
      <c r="J407">
        <v>3.4550000000000001</v>
      </c>
      <c r="K407">
        <v>10312</v>
      </c>
      <c r="L407">
        <v>5606633</v>
      </c>
      <c r="M407">
        <v>-32409</v>
      </c>
      <c r="N407">
        <v>314022</v>
      </c>
      <c r="O407">
        <v>38389</v>
      </c>
      <c r="P407">
        <v>263359</v>
      </c>
      <c r="Q407">
        <v>12274</v>
      </c>
      <c r="S407">
        <v>0</v>
      </c>
      <c r="T407">
        <v>42230</v>
      </c>
      <c r="U407">
        <v>4210</v>
      </c>
      <c r="V407">
        <v>2.7278666666000002</v>
      </c>
      <c r="W407">
        <v>2.6379999999999999</v>
      </c>
      <c r="X407">
        <v>9.4481333332999995</v>
      </c>
      <c r="Z407">
        <v>10310.89</v>
      </c>
      <c r="AB407">
        <v>10315.32</v>
      </c>
      <c r="AD407">
        <v>10310.620000000001</v>
      </c>
      <c r="AF407" t="s">
        <v>182</v>
      </c>
      <c r="AG407" t="s">
        <v>185</v>
      </c>
      <c r="AI407" t="s">
        <v>186</v>
      </c>
      <c r="AJ407" t="s">
        <v>1401</v>
      </c>
      <c r="AK407" t="s">
        <v>188</v>
      </c>
    </row>
    <row r="408" spans="1:37" x14ac:dyDescent="0.3">
      <c r="A408">
        <v>8008</v>
      </c>
      <c r="B408" s="207">
        <v>46121</v>
      </c>
      <c r="C408" t="s">
        <v>438</v>
      </c>
      <c r="D408" t="s">
        <v>1402</v>
      </c>
      <c r="E408" t="s">
        <v>1403</v>
      </c>
      <c r="F408" s="207">
        <v>47483</v>
      </c>
      <c r="G408">
        <v>2.5</v>
      </c>
      <c r="H408">
        <v>63297</v>
      </c>
      <c r="I408">
        <v>61343064</v>
      </c>
      <c r="J408">
        <v>3.57</v>
      </c>
      <c r="K408">
        <v>9926</v>
      </c>
      <c r="L408">
        <v>62828602</v>
      </c>
      <c r="M408">
        <v>-537289</v>
      </c>
      <c r="N408">
        <v>2022827</v>
      </c>
      <c r="O408">
        <v>436014</v>
      </c>
      <c r="P408">
        <v>1136370</v>
      </c>
      <c r="Q408">
        <v>450443</v>
      </c>
      <c r="S408">
        <v>0</v>
      </c>
      <c r="T408">
        <v>220120</v>
      </c>
      <c r="U408">
        <v>22000</v>
      </c>
      <c r="V408">
        <v>3.7278666666000002</v>
      </c>
      <c r="W408">
        <v>3.6006666666</v>
      </c>
      <c r="X408">
        <v>16.380533333300001</v>
      </c>
      <c r="Z408">
        <v>9921.9599999999991</v>
      </c>
      <c r="AB408">
        <v>9932.41</v>
      </c>
      <c r="AD408">
        <v>9924.82</v>
      </c>
      <c r="AF408" t="s">
        <v>182</v>
      </c>
      <c r="AG408" t="s">
        <v>185</v>
      </c>
      <c r="AI408" t="s">
        <v>186</v>
      </c>
      <c r="AJ408" t="s">
        <v>1404</v>
      </c>
      <c r="AK408" t="s">
        <v>188</v>
      </c>
    </row>
    <row r="409" spans="1:37" x14ac:dyDescent="0.3">
      <c r="A409">
        <v>8008</v>
      </c>
      <c r="B409" s="207">
        <v>46121</v>
      </c>
      <c r="C409" t="s">
        <v>438</v>
      </c>
      <c r="D409" t="s">
        <v>1405</v>
      </c>
      <c r="E409" t="s">
        <v>1406</v>
      </c>
      <c r="F409" s="207">
        <v>46203</v>
      </c>
      <c r="G409">
        <v>1.05</v>
      </c>
      <c r="H409">
        <v>21435</v>
      </c>
      <c r="I409">
        <v>21267790</v>
      </c>
      <c r="J409">
        <v>2.69</v>
      </c>
      <c r="K409">
        <v>10473</v>
      </c>
      <c r="L409">
        <v>22448875</v>
      </c>
      <c r="M409">
        <v>84157</v>
      </c>
      <c r="N409">
        <v>1096928</v>
      </c>
      <c r="O409">
        <v>63744</v>
      </c>
      <c r="P409">
        <v>29564</v>
      </c>
      <c r="Q409">
        <v>1003620</v>
      </c>
      <c r="S409">
        <v>0</v>
      </c>
      <c r="T409">
        <v>13060</v>
      </c>
      <c r="U409">
        <v>1290</v>
      </c>
      <c r="V409">
        <v>0.22283333329999999</v>
      </c>
      <c r="W409">
        <v>0.2185</v>
      </c>
      <c r="X409">
        <v>0.2051</v>
      </c>
      <c r="Z409">
        <v>10473.31</v>
      </c>
      <c r="AB409">
        <v>10474.17</v>
      </c>
      <c r="AD409">
        <v>10473.06</v>
      </c>
      <c r="AF409" t="s">
        <v>182</v>
      </c>
      <c r="AG409" t="s">
        <v>185</v>
      </c>
      <c r="AI409" t="s">
        <v>186</v>
      </c>
      <c r="AJ409" t="s">
        <v>1407</v>
      </c>
      <c r="AK409" t="s">
        <v>188</v>
      </c>
    </row>
    <row r="410" spans="1:37" x14ac:dyDescent="0.3">
      <c r="A410">
        <v>8008</v>
      </c>
      <c r="B410" s="207">
        <v>46121</v>
      </c>
      <c r="C410" t="s">
        <v>438</v>
      </c>
      <c r="D410" t="s">
        <v>1408</v>
      </c>
      <c r="E410" t="s">
        <v>1409</v>
      </c>
      <c r="F410" s="207">
        <v>46234</v>
      </c>
      <c r="G410">
        <v>1.05</v>
      </c>
      <c r="H410">
        <v>4738</v>
      </c>
      <c r="I410">
        <v>4694073</v>
      </c>
      <c r="J410">
        <v>2.7320000000000002</v>
      </c>
      <c r="K410">
        <v>10448</v>
      </c>
      <c r="L410">
        <v>4950262</v>
      </c>
      <c r="M410">
        <v>18140</v>
      </c>
      <c r="N410">
        <v>238049</v>
      </c>
      <c r="O410">
        <v>14078</v>
      </c>
      <c r="P410">
        <v>79705</v>
      </c>
      <c r="Q410">
        <v>144266</v>
      </c>
      <c r="S410">
        <v>0</v>
      </c>
      <c r="T410">
        <v>13120</v>
      </c>
      <c r="U410">
        <v>1310</v>
      </c>
      <c r="V410">
        <v>0.30773333330000002</v>
      </c>
      <c r="W410">
        <v>0.30143333329999999</v>
      </c>
      <c r="X410">
        <v>0.31636666660000001</v>
      </c>
      <c r="Z410">
        <v>10447.86</v>
      </c>
      <c r="AB410">
        <v>10449.280000000001</v>
      </c>
      <c r="AD410">
        <v>10448.15</v>
      </c>
      <c r="AF410" t="s">
        <v>182</v>
      </c>
      <c r="AG410" t="s">
        <v>185</v>
      </c>
      <c r="AI410" t="s">
        <v>186</v>
      </c>
      <c r="AJ410" t="s">
        <v>1410</v>
      </c>
      <c r="AK410" t="s">
        <v>188</v>
      </c>
    </row>
    <row r="411" spans="1:37" x14ac:dyDescent="0.3">
      <c r="A411">
        <v>8008</v>
      </c>
      <c r="B411" s="207">
        <v>46121</v>
      </c>
      <c r="C411" t="s">
        <v>438</v>
      </c>
      <c r="D411" t="s">
        <v>1411</v>
      </c>
      <c r="E411" t="s">
        <v>1412</v>
      </c>
      <c r="F411" s="207">
        <v>46265</v>
      </c>
      <c r="G411">
        <v>1.05</v>
      </c>
      <c r="H411">
        <v>52391</v>
      </c>
      <c r="I411">
        <v>51833419</v>
      </c>
      <c r="J411">
        <v>2.7730000000000001</v>
      </c>
      <c r="K411">
        <v>10422</v>
      </c>
      <c r="L411">
        <v>54601900</v>
      </c>
      <c r="M411">
        <v>185014</v>
      </c>
      <c r="N411">
        <v>2583467</v>
      </c>
      <c r="O411">
        <v>155528</v>
      </c>
      <c r="P411">
        <v>2303329</v>
      </c>
      <c r="Q411">
        <v>124610</v>
      </c>
      <c r="S411">
        <v>0</v>
      </c>
      <c r="T411">
        <v>344230</v>
      </c>
      <c r="U411">
        <v>34410</v>
      </c>
      <c r="V411">
        <v>0.39269999999999999</v>
      </c>
      <c r="W411">
        <v>0.38419999999999999</v>
      </c>
      <c r="X411">
        <v>0.44579999999999997</v>
      </c>
      <c r="Z411">
        <v>10421.75</v>
      </c>
      <c r="AB411">
        <v>10423.59</v>
      </c>
      <c r="AD411">
        <v>10423.040000000001</v>
      </c>
      <c r="AF411" t="s">
        <v>182</v>
      </c>
      <c r="AG411" t="s">
        <v>185</v>
      </c>
      <c r="AI411" t="s">
        <v>186</v>
      </c>
      <c r="AJ411" t="s">
        <v>1413</v>
      </c>
      <c r="AK411" t="s">
        <v>188</v>
      </c>
    </row>
    <row r="412" spans="1:37" x14ac:dyDescent="0.3">
      <c r="A412">
        <v>8008</v>
      </c>
      <c r="B412" s="207">
        <v>46121</v>
      </c>
      <c r="C412" t="s">
        <v>438</v>
      </c>
      <c r="D412" t="s">
        <v>1414</v>
      </c>
      <c r="E412" t="s">
        <v>1415</v>
      </c>
      <c r="F412" s="207">
        <v>46326</v>
      </c>
      <c r="G412">
        <v>1.05</v>
      </c>
      <c r="H412">
        <v>76569</v>
      </c>
      <c r="I412">
        <v>75533961</v>
      </c>
      <c r="J412">
        <v>2.835</v>
      </c>
      <c r="K412">
        <v>10371</v>
      </c>
      <c r="L412">
        <v>79409709</v>
      </c>
      <c r="M412">
        <v>240164</v>
      </c>
      <c r="N412">
        <v>3635584</v>
      </c>
      <c r="O412">
        <v>226906</v>
      </c>
      <c r="P412">
        <v>3343666</v>
      </c>
      <c r="Q412">
        <v>65012</v>
      </c>
      <c r="S412">
        <v>0</v>
      </c>
      <c r="T412">
        <v>499870</v>
      </c>
      <c r="U412">
        <v>49980</v>
      </c>
      <c r="V412">
        <v>0.55979999999999996</v>
      </c>
      <c r="W412">
        <v>0.54663333329999997</v>
      </c>
      <c r="X412">
        <v>0.75286666660000001</v>
      </c>
      <c r="Z412">
        <v>10370.69</v>
      </c>
      <c r="AB412">
        <v>10372.08</v>
      </c>
      <c r="AD412">
        <v>10372.34</v>
      </c>
      <c r="AF412" t="s">
        <v>182</v>
      </c>
      <c r="AG412" t="s">
        <v>185</v>
      </c>
      <c r="AI412" t="s">
        <v>186</v>
      </c>
      <c r="AJ412" t="s">
        <v>1416</v>
      </c>
      <c r="AK412" t="s">
        <v>188</v>
      </c>
    </row>
    <row r="413" spans="1:37" x14ac:dyDescent="0.3">
      <c r="A413">
        <v>8008</v>
      </c>
      <c r="B413" s="207">
        <v>46121</v>
      </c>
      <c r="C413" t="s">
        <v>438</v>
      </c>
      <c r="D413" t="s">
        <v>1417</v>
      </c>
      <c r="E413" t="s">
        <v>1418</v>
      </c>
      <c r="F413" s="207">
        <v>46356</v>
      </c>
      <c r="G413">
        <v>1.05</v>
      </c>
      <c r="H413">
        <v>578</v>
      </c>
      <c r="I413">
        <v>569317</v>
      </c>
      <c r="J413">
        <v>2.8540000000000001</v>
      </c>
      <c r="K413">
        <v>10346</v>
      </c>
      <c r="L413">
        <v>597998</v>
      </c>
      <c r="M413">
        <v>1758</v>
      </c>
      <c r="N413">
        <v>26923</v>
      </c>
      <c r="O413">
        <v>1710</v>
      </c>
      <c r="P413">
        <v>24664</v>
      </c>
      <c r="Q413">
        <v>549</v>
      </c>
      <c r="S413">
        <v>0</v>
      </c>
      <c r="T413">
        <v>3690</v>
      </c>
      <c r="U413">
        <v>360</v>
      </c>
      <c r="V413">
        <v>0.64200000000000002</v>
      </c>
      <c r="W413">
        <v>0.62626666659999997</v>
      </c>
      <c r="X413">
        <v>0.92920000000000003</v>
      </c>
      <c r="Z413">
        <v>10346.290000000001</v>
      </c>
      <c r="AB413">
        <v>10347.15</v>
      </c>
      <c r="AD413">
        <v>10346.75</v>
      </c>
      <c r="AF413" t="s">
        <v>182</v>
      </c>
      <c r="AG413" t="s">
        <v>185</v>
      </c>
      <c r="AI413" t="s">
        <v>186</v>
      </c>
      <c r="AJ413" t="s">
        <v>1419</v>
      </c>
      <c r="AK413" t="s">
        <v>188</v>
      </c>
    </row>
    <row r="414" spans="1:37" x14ac:dyDescent="0.3">
      <c r="A414">
        <v>8008</v>
      </c>
      <c r="B414" s="207">
        <v>46121</v>
      </c>
      <c r="C414" t="s">
        <v>438</v>
      </c>
      <c r="D414" t="s">
        <v>1420</v>
      </c>
      <c r="E414" t="s">
        <v>1421</v>
      </c>
      <c r="F414" s="207">
        <v>46387</v>
      </c>
      <c r="G414">
        <v>1.05</v>
      </c>
      <c r="H414">
        <v>7838</v>
      </c>
      <c r="I414">
        <v>7708705</v>
      </c>
      <c r="J414">
        <v>2.879</v>
      </c>
      <c r="K414">
        <v>10320</v>
      </c>
      <c r="L414">
        <v>8088816</v>
      </c>
      <c r="M414">
        <v>22274</v>
      </c>
      <c r="N414">
        <v>357837</v>
      </c>
      <c r="O414">
        <v>23187</v>
      </c>
      <c r="P414">
        <v>319548</v>
      </c>
      <c r="Q414">
        <v>15102</v>
      </c>
      <c r="S414">
        <v>0</v>
      </c>
      <c r="T414">
        <v>47970</v>
      </c>
      <c r="U414">
        <v>4790</v>
      </c>
      <c r="V414">
        <v>0.72693333329999998</v>
      </c>
      <c r="W414">
        <v>0.70840000000000003</v>
      </c>
      <c r="X414">
        <v>1.1285666666</v>
      </c>
      <c r="Z414">
        <v>10319.76</v>
      </c>
      <c r="AB414">
        <v>10321.15</v>
      </c>
      <c r="AD414">
        <v>10319.91</v>
      </c>
      <c r="AF414" t="s">
        <v>182</v>
      </c>
      <c r="AG414" t="s">
        <v>185</v>
      </c>
      <c r="AI414" t="s">
        <v>186</v>
      </c>
      <c r="AJ414" t="s">
        <v>1422</v>
      </c>
      <c r="AK414" t="s">
        <v>188</v>
      </c>
    </row>
    <row r="415" spans="1:37" x14ac:dyDescent="0.3">
      <c r="A415">
        <v>8008</v>
      </c>
      <c r="B415" s="207">
        <v>46121</v>
      </c>
      <c r="C415" t="s">
        <v>438</v>
      </c>
      <c r="D415" t="s">
        <v>1423</v>
      </c>
      <c r="E415" t="s">
        <v>1424</v>
      </c>
      <c r="F415" s="207">
        <v>46873</v>
      </c>
      <c r="G415">
        <v>2.5</v>
      </c>
      <c r="H415">
        <v>44502</v>
      </c>
      <c r="I415">
        <v>43943235</v>
      </c>
      <c r="J415">
        <v>3.3050000000000002</v>
      </c>
      <c r="K415">
        <v>10582</v>
      </c>
      <c r="L415">
        <v>47092015</v>
      </c>
      <c r="M415">
        <v>-208208</v>
      </c>
      <c r="N415">
        <v>3356988</v>
      </c>
      <c r="O415">
        <v>319462</v>
      </c>
      <c r="P415">
        <v>2371906</v>
      </c>
      <c r="Q415">
        <v>665620</v>
      </c>
      <c r="S415">
        <v>0</v>
      </c>
      <c r="T415">
        <v>376780</v>
      </c>
      <c r="U415">
        <v>37670</v>
      </c>
      <c r="V415">
        <v>2.0566</v>
      </c>
      <c r="W415">
        <v>1.9904999999999999</v>
      </c>
      <c r="X415">
        <v>5.8721666666000001</v>
      </c>
      <c r="Z415">
        <v>10579.74</v>
      </c>
      <c r="AB415">
        <v>10586.56</v>
      </c>
      <c r="AD415">
        <v>10581.01</v>
      </c>
      <c r="AF415" t="s">
        <v>182</v>
      </c>
      <c r="AG415" t="s">
        <v>185</v>
      </c>
      <c r="AI415" t="s">
        <v>186</v>
      </c>
      <c r="AJ415" t="s">
        <v>1425</v>
      </c>
      <c r="AK415" t="s">
        <v>188</v>
      </c>
    </row>
    <row r="416" spans="1:37" x14ac:dyDescent="0.3">
      <c r="A416">
        <v>8008</v>
      </c>
      <c r="B416" s="207">
        <v>46121</v>
      </c>
      <c r="C416" t="s">
        <v>438</v>
      </c>
      <c r="D416" t="s">
        <v>1426</v>
      </c>
      <c r="E416" t="s">
        <v>1427</v>
      </c>
      <c r="F416" s="207">
        <v>46996</v>
      </c>
      <c r="G416">
        <v>2.5</v>
      </c>
      <c r="H416">
        <v>5865</v>
      </c>
      <c r="I416">
        <v>5768206</v>
      </c>
      <c r="J416">
        <v>3.355</v>
      </c>
      <c r="K416">
        <v>10454</v>
      </c>
      <c r="L416">
        <v>6131271</v>
      </c>
      <c r="M416">
        <v>-27090</v>
      </c>
      <c r="N416">
        <v>390155</v>
      </c>
      <c r="O416">
        <v>41753</v>
      </c>
      <c r="P416">
        <v>332423</v>
      </c>
      <c r="Q416">
        <v>15979</v>
      </c>
      <c r="S416">
        <v>0</v>
      </c>
      <c r="T416">
        <v>52370</v>
      </c>
      <c r="U416">
        <v>5230</v>
      </c>
      <c r="V416">
        <v>2.3936000000000002</v>
      </c>
      <c r="W416">
        <v>2.3175666665999999</v>
      </c>
      <c r="X416">
        <v>7.5385333333000002</v>
      </c>
      <c r="Z416">
        <v>10452.52</v>
      </c>
      <c r="AB416">
        <v>10457.700000000001</v>
      </c>
      <c r="AD416">
        <v>10451.799999999999</v>
      </c>
      <c r="AF416" t="s">
        <v>182</v>
      </c>
      <c r="AG416" t="s">
        <v>185</v>
      </c>
      <c r="AI416" t="s">
        <v>186</v>
      </c>
      <c r="AJ416" t="s">
        <v>1428</v>
      </c>
      <c r="AK416" t="s">
        <v>188</v>
      </c>
    </row>
    <row r="417" spans="1:37" x14ac:dyDescent="0.3">
      <c r="A417">
        <v>8008</v>
      </c>
      <c r="B417" s="207">
        <v>46121</v>
      </c>
      <c r="C417" t="s">
        <v>438</v>
      </c>
      <c r="D417" t="s">
        <v>1429</v>
      </c>
      <c r="E417" t="s">
        <v>1430</v>
      </c>
      <c r="F417" s="207">
        <v>47026</v>
      </c>
      <c r="G417">
        <v>2.5</v>
      </c>
      <c r="H417">
        <v>5560</v>
      </c>
      <c r="I417">
        <v>5462391</v>
      </c>
      <c r="J417">
        <v>3.3679999999999999</v>
      </c>
      <c r="K417">
        <v>10422</v>
      </c>
      <c r="L417">
        <v>5794631</v>
      </c>
      <c r="M417">
        <v>-25602</v>
      </c>
      <c r="N417">
        <v>357842</v>
      </c>
      <c r="O417">
        <v>39502</v>
      </c>
      <c r="P417">
        <v>279544</v>
      </c>
      <c r="Q417">
        <v>38796</v>
      </c>
      <c r="S417">
        <v>0</v>
      </c>
      <c r="T417">
        <v>44640</v>
      </c>
      <c r="U417">
        <v>4450</v>
      </c>
      <c r="V417">
        <v>2.4758</v>
      </c>
      <c r="W417">
        <v>2.3969333332999998</v>
      </c>
      <c r="X417">
        <v>7.9860333333</v>
      </c>
      <c r="Z417">
        <v>10420.85</v>
      </c>
      <c r="AB417">
        <v>10426.18</v>
      </c>
      <c r="AD417">
        <v>10420.1</v>
      </c>
      <c r="AF417" t="s">
        <v>182</v>
      </c>
      <c r="AG417" t="s">
        <v>185</v>
      </c>
      <c r="AI417" t="s">
        <v>186</v>
      </c>
      <c r="AJ417" t="s">
        <v>1431</v>
      </c>
      <c r="AK417" t="s">
        <v>188</v>
      </c>
    </row>
    <row r="418" spans="1:37" x14ac:dyDescent="0.3">
      <c r="A418">
        <v>8008</v>
      </c>
      <c r="B418" s="207">
        <v>46121</v>
      </c>
      <c r="C418" t="s">
        <v>438</v>
      </c>
      <c r="D418" t="s">
        <v>1432</v>
      </c>
      <c r="E418" t="s">
        <v>1433</v>
      </c>
      <c r="F418" s="207">
        <v>47208</v>
      </c>
      <c r="G418">
        <v>2.5</v>
      </c>
      <c r="H418">
        <v>27213</v>
      </c>
      <c r="I418">
        <v>25631434</v>
      </c>
      <c r="J418">
        <v>3.5419999999999998</v>
      </c>
      <c r="K418">
        <v>10201</v>
      </c>
      <c r="L418">
        <v>27759980</v>
      </c>
      <c r="M418">
        <v>731542</v>
      </c>
      <c r="N418">
        <v>1397004</v>
      </c>
      <c r="O418">
        <v>70525</v>
      </c>
      <c r="P418">
        <v>239682</v>
      </c>
      <c r="Q418">
        <v>1086797</v>
      </c>
      <c r="S418">
        <v>0</v>
      </c>
      <c r="T418">
        <v>43410</v>
      </c>
      <c r="U418">
        <v>4320</v>
      </c>
      <c r="V418">
        <v>2.9744000000000002</v>
      </c>
      <c r="W418">
        <v>2.8720666665999999</v>
      </c>
      <c r="X418">
        <v>11.0145666666</v>
      </c>
      <c r="Z418">
        <v>10202.31</v>
      </c>
      <c r="AB418">
        <v>10202.379999999999</v>
      </c>
      <c r="AD418">
        <v>10199.969999999999</v>
      </c>
      <c r="AF418" t="s">
        <v>182</v>
      </c>
      <c r="AG418" t="s">
        <v>185</v>
      </c>
      <c r="AI418" t="s">
        <v>186</v>
      </c>
      <c r="AJ418" t="s">
        <v>1434</v>
      </c>
      <c r="AK418" t="s">
        <v>188</v>
      </c>
    </row>
    <row r="419" spans="1:37" x14ac:dyDescent="0.3">
      <c r="A419">
        <v>8008</v>
      </c>
      <c r="B419" s="207">
        <v>46121</v>
      </c>
      <c r="C419" t="s">
        <v>438</v>
      </c>
      <c r="D419" t="s">
        <v>1435</v>
      </c>
      <c r="E419" t="s">
        <v>1436</v>
      </c>
      <c r="F419" s="207">
        <v>47299</v>
      </c>
      <c r="G419">
        <v>2.5</v>
      </c>
      <c r="H419">
        <v>16121</v>
      </c>
      <c r="I419">
        <v>15706547</v>
      </c>
      <c r="J419">
        <v>3.5569999999999999</v>
      </c>
      <c r="K419">
        <v>10107</v>
      </c>
      <c r="L419">
        <v>16293494</v>
      </c>
      <c r="M419">
        <v>-136621</v>
      </c>
      <c r="N419">
        <v>723568</v>
      </c>
      <c r="O419">
        <v>112439</v>
      </c>
      <c r="P419">
        <v>531623</v>
      </c>
      <c r="Q419">
        <v>79506</v>
      </c>
      <c r="S419">
        <v>0</v>
      </c>
      <c r="T419">
        <v>90160</v>
      </c>
      <c r="U419">
        <v>9010</v>
      </c>
      <c r="V419">
        <v>3.2237666666</v>
      </c>
      <c r="W419">
        <v>3.1140666665999999</v>
      </c>
      <c r="X419">
        <v>12.649900000000001</v>
      </c>
      <c r="Z419">
        <v>10107.32</v>
      </c>
      <c r="AB419">
        <v>10109.91</v>
      </c>
      <c r="AD419">
        <v>10106.370000000001</v>
      </c>
      <c r="AF419" t="s">
        <v>182</v>
      </c>
      <c r="AG419" t="s">
        <v>185</v>
      </c>
      <c r="AI419" t="s">
        <v>186</v>
      </c>
      <c r="AJ419" t="s">
        <v>1437</v>
      </c>
      <c r="AK419" t="s">
        <v>188</v>
      </c>
    </row>
    <row r="420" spans="1:37" x14ac:dyDescent="0.3">
      <c r="A420">
        <v>8008</v>
      </c>
      <c r="B420" s="207">
        <v>46121</v>
      </c>
      <c r="C420" t="s">
        <v>438</v>
      </c>
      <c r="D420" t="s">
        <v>1438</v>
      </c>
      <c r="E420" t="s">
        <v>1439</v>
      </c>
      <c r="F420" s="207">
        <v>47330</v>
      </c>
      <c r="G420">
        <v>2.5</v>
      </c>
      <c r="H420">
        <v>27265</v>
      </c>
      <c r="I420">
        <v>26541537</v>
      </c>
      <c r="J420">
        <v>3.5590000000000002</v>
      </c>
      <c r="K420">
        <v>10077</v>
      </c>
      <c r="L420">
        <v>27474939</v>
      </c>
      <c r="M420">
        <v>-230664</v>
      </c>
      <c r="N420">
        <v>1164066</v>
      </c>
      <c r="O420">
        <v>189766</v>
      </c>
      <c r="P420">
        <v>914229</v>
      </c>
      <c r="Q420">
        <v>60071</v>
      </c>
      <c r="S420">
        <v>0</v>
      </c>
      <c r="T420">
        <v>154540</v>
      </c>
      <c r="U420">
        <v>15440</v>
      </c>
      <c r="V420">
        <v>3.3086666666000002</v>
      </c>
      <c r="W420">
        <v>3.1964999999999999</v>
      </c>
      <c r="X420">
        <v>13.2372</v>
      </c>
      <c r="Z420">
        <v>10076.129999999999</v>
      </c>
      <c r="AB420">
        <v>10079.75</v>
      </c>
      <c r="AD420">
        <v>10075.48</v>
      </c>
      <c r="AF420" t="s">
        <v>182</v>
      </c>
      <c r="AG420" t="s">
        <v>185</v>
      </c>
      <c r="AI420" t="s">
        <v>186</v>
      </c>
      <c r="AJ420" t="s">
        <v>1440</v>
      </c>
      <c r="AK420" t="s">
        <v>188</v>
      </c>
    </row>
    <row r="421" spans="1:37" x14ac:dyDescent="0.3">
      <c r="A421">
        <v>8008</v>
      </c>
      <c r="B421" s="207">
        <v>46121</v>
      </c>
      <c r="C421" t="s">
        <v>438</v>
      </c>
      <c r="D421" t="s">
        <v>1441</v>
      </c>
      <c r="E421" t="s">
        <v>1442</v>
      </c>
      <c r="F421" s="207">
        <v>47361</v>
      </c>
      <c r="G421">
        <v>2.5</v>
      </c>
      <c r="H421">
        <v>12162</v>
      </c>
      <c r="I421">
        <v>11827975</v>
      </c>
      <c r="J421">
        <v>3.5609999999999999</v>
      </c>
      <c r="K421">
        <v>10046</v>
      </c>
      <c r="L421">
        <v>12217945</v>
      </c>
      <c r="M421">
        <v>-102714</v>
      </c>
      <c r="N421">
        <v>492684</v>
      </c>
      <c r="O421">
        <v>84471</v>
      </c>
      <c r="P421">
        <v>381856</v>
      </c>
      <c r="Q421">
        <v>26357</v>
      </c>
      <c r="S421">
        <v>0</v>
      </c>
      <c r="T421">
        <v>65280</v>
      </c>
      <c r="U421">
        <v>6520</v>
      </c>
      <c r="V421">
        <v>3.3936000000000002</v>
      </c>
      <c r="W421">
        <v>3.2787333332999999</v>
      </c>
      <c r="X421">
        <v>13.8414</v>
      </c>
      <c r="Z421">
        <v>10045.07</v>
      </c>
      <c r="AB421">
        <v>10049.43</v>
      </c>
      <c r="AD421">
        <v>10044.74</v>
      </c>
      <c r="AF421" t="s">
        <v>182</v>
      </c>
      <c r="AG421" t="s">
        <v>185</v>
      </c>
      <c r="AI421" t="s">
        <v>186</v>
      </c>
      <c r="AJ421" t="s">
        <v>1443</v>
      </c>
      <c r="AK421" t="s">
        <v>188</v>
      </c>
    </row>
    <row r="422" spans="1:37" x14ac:dyDescent="0.3">
      <c r="A422">
        <v>8008</v>
      </c>
      <c r="B422" s="207">
        <v>46121</v>
      </c>
      <c r="C422" t="s">
        <v>438</v>
      </c>
      <c r="D422" t="s">
        <v>1444</v>
      </c>
      <c r="E422" t="s">
        <v>1445</v>
      </c>
      <c r="F422" s="207">
        <v>47422</v>
      </c>
      <c r="G422">
        <v>2.5</v>
      </c>
      <c r="H422">
        <v>41456</v>
      </c>
      <c r="I422">
        <v>40249289</v>
      </c>
      <c r="J422">
        <v>3.5649999999999999</v>
      </c>
      <c r="K422">
        <v>9986</v>
      </c>
      <c r="L422">
        <v>41397961</v>
      </c>
      <c r="M422">
        <v>-353076</v>
      </c>
      <c r="N422">
        <v>1501748</v>
      </c>
      <c r="O422">
        <v>286746</v>
      </c>
      <c r="P422">
        <v>1133782</v>
      </c>
      <c r="Q422">
        <v>81220</v>
      </c>
      <c r="S422">
        <v>0</v>
      </c>
      <c r="T422">
        <v>198870</v>
      </c>
      <c r="U422">
        <v>19880</v>
      </c>
      <c r="V422">
        <v>3.5607000000000002</v>
      </c>
      <c r="W422">
        <v>3.4400333333000002</v>
      </c>
      <c r="X422">
        <v>15.0791333333</v>
      </c>
      <c r="Z422">
        <v>9983.99</v>
      </c>
      <c r="AB422">
        <v>9990.6</v>
      </c>
      <c r="AD422">
        <v>9984.33</v>
      </c>
      <c r="AF422" t="s">
        <v>182</v>
      </c>
      <c r="AG422" t="s">
        <v>185</v>
      </c>
      <c r="AI422" t="s">
        <v>186</v>
      </c>
      <c r="AJ422" t="s">
        <v>1446</v>
      </c>
      <c r="AK422" t="s">
        <v>188</v>
      </c>
    </row>
    <row r="423" spans="1:37" x14ac:dyDescent="0.3">
      <c r="A423">
        <v>8008</v>
      </c>
      <c r="B423" s="207">
        <v>46121</v>
      </c>
      <c r="C423" t="s">
        <v>438</v>
      </c>
      <c r="D423" t="s">
        <v>1447</v>
      </c>
      <c r="E423" t="s">
        <v>1448</v>
      </c>
      <c r="F423" s="207">
        <v>47452</v>
      </c>
      <c r="G423">
        <v>2.5</v>
      </c>
      <c r="H423">
        <v>7221</v>
      </c>
      <c r="I423">
        <v>7004216</v>
      </c>
      <c r="J423">
        <v>3.5670000000000002</v>
      </c>
      <c r="K423">
        <v>9956</v>
      </c>
      <c r="L423">
        <v>7189227</v>
      </c>
      <c r="M423">
        <v>-61399</v>
      </c>
      <c r="N423">
        <v>246410</v>
      </c>
      <c r="O423">
        <v>49845</v>
      </c>
      <c r="P423">
        <v>142629</v>
      </c>
      <c r="Q423">
        <v>53936</v>
      </c>
      <c r="S423">
        <v>0</v>
      </c>
      <c r="T423">
        <v>26940</v>
      </c>
      <c r="U423">
        <v>2690</v>
      </c>
      <c r="V423">
        <v>3.6429</v>
      </c>
      <c r="W423">
        <v>3.5191333333000001</v>
      </c>
      <c r="X423">
        <v>15.711333333300001</v>
      </c>
      <c r="Z423">
        <v>9953.58</v>
      </c>
      <c r="AB423">
        <v>9962.07</v>
      </c>
      <c r="AD423">
        <v>9954.98</v>
      </c>
      <c r="AF423" t="s">
        <v>182</v>
      </c>
      <c r="AG423" t="s">
        <v>185</v>
      </c>
      <c r="AI423" t="s">
        <v>186</v>
      </c>
      <c r="AJ423" t="s">
        <v>1449</v>
      </c>
      <c r="AK423" t="s">
        <v>188</v>
      </c>
    </row>
    <row r="424" spans="1:37" x14ac:dyDescent="0.3">
      <c r="A424">
        <v>8008</v>
      </c>
      <c r="B424" s="207">
        <v>46121</v>
      </c>
      <c r="C424" t="s">
        <v>438</v>
      </c>
      <c r="D424" t="s">
        <v>1450</v>
      </c>
      <c r="E424" t="s">
        <v>1451</v>
      </c>
      <c r="F424" s="207">
        <v>47514</v>
      </c>
      <c r="G424">
        <v>2.5</v>
      </c>
      <c r="H424">
        <v>6331</v>
      </c>
      <c r="I424">
        <v>6128270</v>
      </c>
      <c r="J424">
        <v>3.5739999999999998</v>
      </c>
      <c r="K424">
        <v>9895</v>
      </c>
      <c r="L424">
        <v>6264523</v>
      </c>
      <c r="M424">
        <v>-52382</v>
      </c>
      <c r="N424">
        <v>188635</v>
      </c>
      <c r="O424">
        <v>43519</v>
      </c>
      <c r="P424">
        <v>120870</v>
      </c>
      <c r="Q424">
        <v>24246</v>
      </c>
      <c r="S424">
        <v>0</v>
      </c>
      <c r="T424">
        <v>23000</v>
      </c>
      <c r="U424">
        <v>2290</v>
      </c>
      <c r="V424">
        <v>3.8128000000000002</v>
      </c>
      <c r="W424">
        <v>3.6819999999999999</v>
      </c>
      <c r="X424">
        <v>17.0657</v>
      </c>
      <c r="Z424">
        <v>9889.7000000000007</v>
      </c>
      <c r="AB424">
        <v>9902.9</v>
      </c>
      <c r="AD424">
        <v>9894.7999999999993</v>
      </c>
      <c r="AF424" t="s">
        <v>182</v>
      </c>
      <c r="AG424" t="s">
        <v>185</v>
      </c>
      <c r="AI424" t="s">
        <v>186</v>
      </c>
      <c r="AJ424" t="s">
        <v>1452</v>
      </c>
      <c r="AK424" t="s">
        <v>188</v>
      </c>
    </row>
    <row r="425" spans="1:37" x14ac:dyDescent="0.3">
      <c r="A425">
        <v>8008</v>
      </c>
      <c r="B425" s="207">
        <v>46121</v>
      </c>
      <c r="C425" t="s">
        <v>438</v>
      </c>
      <c r="D425" t="s">
        <v>1453</v>
      </c>
      <c r="E425" t="s">
        <v>1454</v>
      </c>
      <c r="F425" s="207">
        <v>47542</v>
      </c>
      <c r="G425">
        <v>2.5</v>
      </c>
      <c r="H425">
        <v>392</v>
      </c>
      <c r="I425">
        <v>378990</v>
      </c>
      <c r="J425">
        <v>3.577</v>
      </c>
      <c r="K425">
        <v>9868</v>
      </c>
      <c r="L425">
        <v>386824</v>
      </c>
      <c r="M425">
        <v>-3082</v>
      </c>
      <c r="N425">
        <v>10916</v>
      </c>
      <c r="O425">
        <v>2690</v>
      </c>
      <c r="P425">
        <v>7352</v>
      </c>
      <c r="Q425">
        <v>874</v>
      </c>
      <c r="S425">
        <v>0</v>
      </c>
      <c r="T425">
        <v>1390</v>
      </c>
      <c r="U425">
        <v>130</v>
      </c>
      <c r="V425">
        <v>3.8895</v>
      </c>
      <c r="W425">
        <v>3.7553666666000001</v>
      </c>
      <c r="X425">
        <v>17.698599999999999</v>
      </c>
      <c r="Z425">
        <v>9861.08</v>
      </c>
      <c r="AB425">
        <v>9876.7199999999993</v>
      </c>
      <c r="AD425">
        <v>9867.75</v>
      </c>
      <c r="AF425" t="s">
        <v>182</v>
      </c>
      <c r="AG425" t="s">
        <v>185</v>
      </c>
      <c r="AI425" t="s">
        <v>186</v>
      </c>
      <c r="AJ425" t="s">
        <v>1455</v>
      </c>
      <c r="AK425" t="s">
        <v>188</v>
      </c>
    </row>
    <row r="426" spans="1:37" x14ac:dyDescent="0.3">
      <c r="A426">
        <v>8008</v>
      </c>
      <c r="B426" s="207">
        <v>46121</v>
      </c>
      <c r="C426" t="s">
        <v>438</v>
      </c>
      <c r="D426" t="s">
        <v>1456</v>
      </c>
      <c r="E426" t="s">
        <v>1457</v>
      </c>
      <c r="F426" s="207">
        <v>47573</v>
      </c>
      <c r="G426">
        <v>2.5</v>
      </c>
      <c r="H426">
        <v>56187</v>
      </c>
      <c r="I426">
        <v>54251522</v>
      </c>
      <c r="J426">
        <v>3.5790000000000002</v>
      </c>
      <c r="K426">
        <v>9838</v>
      </c>
      <c r="L426">
        <v>55276769</v>
      </c>
      <c r="M426">
        <v>-418401</v>
      </c>
      <c r="N426">
        <v>1443648</v>
      </c>
      <c r="O426">
        <v>384690</v>
      </c>
      <c r="P426">
        <v>938744</v>
      </c>
      <c r="Q426">
        <v>120214</v>
      </c>
      <c r="S426">
        <v>0</v>
      </c>
      <c r="T426">
        <v>185250</v>
      </c>
      <c r="U426">
        <v>18500</v>
      </c>
      <c r="V426">
        <v>3.9744000000000002</v>
      </c>
      <c r="W426">
        <v>3.8365</v>
      </c>
      <c r="X426">
        <v>18.414633333299999</v>
      </c>
      <c r="Z426">
        <v>9830.84</v>
      </c>
      <c r="AB426">
        <v>9847.52</v>
      </c>
      <c r="AD426">
        <v>9837.6299999999992</v>
      </c>
      <c r="AF426" t="s">
        <v>182</v>
      </c>
      <c r="AG426" t="s">
        <v>185</v>
      </c>
      <c r="AI426" t="s">
        <v>186</v>
      </c>
      <c r="AJ426" t="s">
        <v>1458</v>
      </c>
      <c r="AK426" t="s">
        <v>188</v>
      </c>
    </row>
    <row r="427" spans="1:37" x14ac:dyDescent="0.3">
      <c r="A427">
        <v>8008</v>
      </c>
      <c r="B427" s="207">
        <v>46121</v>
      </c>
      <c r="C427" t="s">
        <v>438</v>
      </c>
      <c r="D427" t="s">
        <v>1459</v>
      </c>
      <c r="E427" t="s">
        <v>1460</v>
      </c>
      <c r="F427" s="207">
        <v>47817</v>
      </c>
      <c r="G427">
        <v>2</v>
      </c>
      <c r="H427">
        <v>8636</v>
      </c>
      <c r="I427">
        <v>8022601</v>
      </c>
      <c r="J427">
        <v>3.6509999999999998</v>
      </c>
      <c r="K427">
        <v>9345</v>
      </c>
      <c r="L427">
        <v>8070342</v>
      </c>
      <c r="M427">
        <v>-13855</v>
      </c>
      <c r="N427">
        <v>61596</v>
      </c>
      <c r="O427">
        <v>45493</v>
      </c>
      <c r="P427">
        <v>536</v>
      </c>
      <c r="Q427">
        <v>15567</v>
      </c>
      <c r="S427">
        <v>0</v>
      </c>
      <c r="T427">
        <v>6430</v>
      </c>
      <c r="U427">
        <v>630</v>
      </c>
      <c r="V427">
        <v>4.6429</v>
      </c>
      <c r="W427">
        <v>4.4810999999999996</v>
      </c>
      <c r="X427">
        <v>24.332899999999999</v>
      </c>
      <c r="Z427">
        <v>9339.73</v>
      </c>
      <c r="AB427">
        <v>9349.64</v>
      </c>
      <c r="AD427">
        <v>9348.5400000000009</v>
      </c>
      <c r="AF427" t="s">
        <v>182</v>
      </c>
      <c r="AG427" t="s">
        <v>185</v>
      </c>
      <c r="AI427" t="s">
        <v>186</v>
      </c>
      <c r="AJ427" t="s">
        <v>1461</v>
      </c>
      <c r="AK427" t="s">
        <v>188</v>
      </c>
    </row>
    <row r="428" spans="1:37" x14ac:dyDescent="0.3">
      <c r="A428">
        <v>8008</v>
      </c>
      <c r="B428" s="207">
        <v>46121</v>
      </c>
      <c r="C428" t="s">
        <v>438</v>
      </c>
      <c r="D428" t="s">
        <v>1462</v>
      </c>
      <c r="E428" t="s">
        <v>1463</v>
      </c>
      <c r="F428" s="207">
        <v>47879</v>
      </c>
      <c r="G428">
        <v>2</v>
      </c>
      <c r="H428">
        <v>2265</v>
      </c>
      <c r="I428">
        <v>2097276</v>
      </c>
      <c r="J428">
        <v>3.6709999999999998</v>
      </c>
      <c r="K428">
        <v>9281</v>
      </c>
      <c r="L428">
        <v>2102146</v>
      </c>
      <c r="M428">
        <v>-3624</v>
      </c>
      <c r="N428">
        <v>8494</v>
      </c>
      <c r="O428">
        <v>5213</v>
      </c>
      <c r="P428">
        <v>0</v>
      </c>
      <c r="Q428">
        <v>3281</v>
      </c>
      <c r="S428">
        <v>0</v>
      </c>
      <c r="T428">
        <v>720</v>
      </c>
      <c r="U428">
        <v>70</v>
      </c>
      <c r="V428">
        <v>4.8128000000000002</v>
      </c>
      <c r="W428">
        <v>4.6432000000000002</v>
      </c>
      <c r="X428">
        <v>25.9916666666</v>
      </c>
      <c r="Z428">
        <v>9274.6299999999992</v>
      </c>
      <c r="AB428">
        <v>9283.5</v>
      </c>
      <c r="AD428">
        <v>9284.98</v>
      </c>
      <c r="AF428" t="s">
        <v>182</v>
      </c>
      <c r="AG428" t="s">
        <v>185</v>
      </c>
      <c r="AI428" t="s">
        <v>186</v>
      </c>
      <c r="AJ428" t="s">
        <v>1464</v>
      </c>
      <c r="AK428" t="s">
        <v>188</v>
      </c>
    </row>
    <row r="429" spans="1:37" x14ac:dyDescent="0.3">
      <c r="A429">
        <v>8008</v>
      </c>
      <c r="B429" s="207">
        <v>46121</v>
      </c>
      <c r="C429" t="s">
        <v>438</v>
      </c>
      <c r="D429" t="s">
        <v>1465</v>
      </c>
      <c r="E429" t="s">
        <v>1466</v>
      </c>
      <c r="F429" s="207">
        <v>47907</v>
      </c>
      <c r="G429">
        <v>2</v>
      </c>
      <c r="H429">
        <v>3217</v>
      </c>
      <c r="I429">
        <v>2914982</v>
      </c>
      <c r="J429">
        <v>3.681</v>
      </c>
      <c r="K429">
        <v>9251</v>
      </c>
      <c r="L429">
        <v>2976046</v>
      </c>
      <c r="M429">
        <v>53901</v>
      </c>
      <c r="N429">
        <v>7163</v>
      </c>
      <c r="O429">
        <v>1802</v>
      </c>
      <c r="P429">
        <v>0</v>
      </c>
      <c r="Q429">
        <v>5361</v>
      </c>
      <c r="S429">
        <v>0</v>
      </c>
      <c r="T429">
        <v>250</v>
      </c>
      <c r="U429">
        <v>20</v>
      </c>
      <c r="V429">
        <v>4.8895</v>
      </c>
      <c r="W429">
        <v>4.7161333333000002</v>
      </c>
      <c r="X429">
        <v>26.7605333333</v>
      </c>
      <c r="Z429">
        <v>9244</v>
      </c>
      <c r="AB429">
        <v>9253.84</v>
      </c>
      <c r="AD429">
        <v>9256.2199999999993</v>
      </c>
      <c r="AF429" t="s">
        <v>182</v>
      </c>
      <c r="AG429" t="s">
        <v>185</v>
      </c>
      <c r="AI429" t="s">
        <v>186</v>
      </c>
      <c r="AJ429" t="s">
        <v>1467</v>
      </c>
      <c r="AK429" t="s">
        <v>188</v>
      </c>
    </row>
    <row r="430" spans="1:37" x14ac:dyDescent="0.3">
      <c r="A430">
        <v>8008</v>
      </c>
      <c r="B430" s="207">
        <v>46121</v>
      </c>
      <c r="C430" t="s">
        <v>438</v>
      </c>
      <c r="D430" t="s">
        <v>1468</v>
      </c>
      <c r="E430" t="s">
        <v>1469</v>
      </c>
      <c r="F430" s="207">
        <v>47968</v>
      </c>
      <c r="G430">
        <v>2</v>
      </c>
      <c r="H430">
        <v>167180</v>
      </c>
      <c r="I430">
        <v>152013060</v>
      </c>
      <c r="J430">
        <v>3.7010000000000001</v>
      </c>
      <c r="K430">
        <v>9187</v>
      </c>
      <c r="L430">
        <v>153588265</v>
      </c>
      <c r="M430">
        <v>1575205</v>
      </c>
      <c r="N430">
        <v>0</v>
      </c>
      <c r="O430">
        <v>0</v>
      </c>
      <c r="P430">
        <v>0</v>
      </c>
      <c r="Q430">
        <v>0</v>
      </c>
      <c r="S430">
        <v>0</v>
      </c>
      <c r="T430">
        <v>0</v>
      </c>
      <c r="U430">
        <v>0</v>
      </c>
      <c r="V430">
        <v>5.0566000000000004</v>
      </c>
      <c r="W430">
        <v>4.8758666666000003</v>
      </c>
      <c r="X430">
        <v>28.459566666600001</v>
      </c>
      <c r="Z430">
        <v>9177.61</v>
      </c>
      <c r="AB430">
        <v>9189.0300000000007</v>
      </c>
      <c r="AD430">
        <v>9195.08</v>
      </c>
      <c r="AF430" t="s">
        <v>182</v>
      </c>
      <c r="AG430" t="s">
        <v>185</v>
      </c>
      <c r="AI430" t="s">
        <v>186</v>
      </c>
      <c r="AJ430" t="s">
        <v>1470</v>
      </c>
      <c r="AK430" t="s">
        <v>188</v>
      </c>
    </row>
    <row r="431" spans="1:37" x14ac:dyDescent="0.3">
      <c r="A431">
        <v>8008</v>
      </c>
      <c r="B431" s="207">
        <v>46121</v>
      </c>
      <c r="C431" t="s">
        <v>438</v>
      </c>
      <c r="D431" t="s">
        <v>1471</v>
      </c>
      <c r="E431" t="s">
        <v>1472</v>
      </c>
      <c r="F431" s="207">
        <v>46326</v>
      </c>
      <c r="G431">
        <v>1.05</v>
      </c>
      <c r="H431">
        <v>4049</v>
      </c>
      <c r="I431">
        <v>3994267</v>
      </c>
      <c r="J431">
        <v>2.835</v>
      </c>
      <c r="K431">
        <v>10371</v>
      </c>
      <c r="L431">
        <v>4199217</v>
      </c>
      <c r="M431">
        <v>12699</v>
      </c>
      <c r="N431">
        <v>192251</v>
      </c>
      <c r="O431">
        <v>11999</v>
      </c>
      <c r="P431">
        <v>176774</v>
      </c>
      <c r="Q431">
        <v>3478</v>
      </c>
      <c r="S431">
        <v>0</v>
      </c>
      <c r="T431">
        <v>26420</v>
      </c>
      <c r="U431">
        <v>2640</v>
      </c>
      <c r="V431">
        <v>0.55979999999999996</v>
      </c>
      <c r="W431">
        <v>0.54663333329999997</v>
      </c>
      <c r="X431">
        <v>0.75286666660000001</v>
      </c>
      <c r="Z431">
        <v>10370.69</v>
      </c>
      <c r="AB431">
        <v>10372.08</v>
      </c>
      <c r="AD431">
        <v>10372.34</v>
      </c>
      <c r="AF431" t="s">
        <v>182</v>
      </c>
      <c r="AG431" t="s">
        <v>185</v>
      </c>
      <c r="AI431" t="s">
        <v>186</v>
      </c>
      <c r="AJ431" t="s">
        <v>1473</v>
      </c>
      <c r="AK431" t="s">
        <v>188</v>
      </c>
    </row>
    <row r="432" spans="1:37" x14ac:dyDescent="0.3">
      <c r="A432">
        <v>8008</v>
      </c>
      <c r="B432" s="207">
        <v>46121</v>
      </c>
      <c r="C432" t="s">
        <v>438</v>
      </c>
      <c r="D432" t="s">
        <v>1474</v>
      </c>
      <c r="E432" t="s">
        <v>1475</v>
      </c>
      <c r="F432" s="207">
        <v>46356</v>
      </c>
      <c r="G432">
        <v>1.05</v>
      </c>
      <c r="H432">
        <v>12873</v>
      </c>
      <c r="I432">
        <v>12679630</v>
      </c>
      <c r="J432">
        <v>2.8540000000000001</v>
      </c>
      <c r="K432">
        <v>10346</v>
      </c>
      <c r="L432">
        <v>13318405</v>
      </c>
      <c r="M432">
        <v>39122</v>
      </c>
      <c r="N432">
        <v>599653</v>
      </c>
      <c r="O432">
        <v>38116</v>
      </c>
      <c r="P432">
        <v>453739</v>
      </c>
      <c r="Q432">
        <v>107798</v>
      </c>
      <c r="S432">
        <v>0</v>
      </c>
      <c r="T432">
        <v>68840</v>
      </c>
      <c r="U432">
        <v>6870</v>
      </c>
      <c r="V432">
        <v>0.64200000000000002</v>
      </c>
      <c r="W432">
        <v>0.62626666659999997</v>
      </c>
      <c r="X432">
        <v>0.92920000000000003</v>
      </c>
      <c r="Z432">
        <v>10346.290000000001</v>
      </c>
      <c r="AB432">
        <v>10347.15</v>
      </c>
      <c r="AD432">
        <v>10346.75</v>
      </c>
      <c r="AF432" t="s">
        <v>182</v>
      </c>
      <c r="AG432" t="s">
        <v>185</v>
      </c>
      <c r="AI432" t="s">
        <v>186</v>
      </c>
      <c r="AJ432" t="s">
        <v>1476</v>
      </c>
      <c r="AK432" t="s">
        <v>188</v>
      </c>
    </row>
    <row r="433" spans="1:37" x14ac:dyDescent="0.3">
      <c r="A433">
        <v>8008</v>
      </c>
      <c r="B433" s="207">
        <v>46121</v>
      </c>
      <c r="C433" t="s">
        <v>438</v>
      </c>
      <c r="D433" t="s">
        <v>1477</v>
      </c>
      <c r="E433" t="s">
        <v>1478</v>
      </c>
      <c r="F433" s="207">
        <v>46446</v>
      </c>
      <c r="G433">
        <v>1.05</v>
      </c>
      <c r="H433">
        <v>2000</v>
      </c>
      <c r="I433">
        <v>1960527</v>
      </c>
      <c r="J433">
        <v>2.9510000000000001</v>
      </c>
      <c r="K433">
        <v>10267</v>
      </c>
      <c r="L433">
        <v>2053400</v>
      </c>
      <c r="M433">
        <v>5093</v>
      </c>
      <c r="N433">
        <v>87780</v>
      </c>
      <c r="O433">
        <v>5907</v>
      </c>
      <c r="P433">
        <v>10103</v>
      </c>
      <c r="Q433">
        <v>71770</v>
      </c>
      <c r="S433">
        <v>0</v>
      </c>
      <c r="T433">
        <v>2240</v>
      </c>
      <c r="U433">
        <v>220</v>
      </c>
      <c r="V433">
        <v>0.88859999999999995</v>
      </c>
      <c r="W433">
        <v>0.86403333329999998</v>
      </c>
      <c r="X433">
        <v>1.5551999999999999</v>
      </c>
      <c r="Z433">
        <v>10266.959999999999</v>
      </c>
      <c r="AB433">
        <v>10267.450000000001</v>
      </c>
      <c r="AD433">
        <v>10266.780000000001</v>
      </c>
      <c r="AF433" t="s">
        <v>182</v>
      </c>
      <c r="AG433" t="s">
        <v>185</v>
      </c>
      <c r="AI433" t="s">
        <v>186</v>
      </c>
      <c r="AJ433" t="s">
        <v>1479</v>
      </c>
      <c r="AK433" t="s">
        <v>188</v>
      </c>
    </row>
    <row r="434" spans="1:37" x14ac:dyDescent="0.3">
      <c r="A434">
        <v>8008</v>
      </c>
      <c r="B434" s="207">
        <v>46121</v>
      </c>
      <c r="C434" t="s">
        <v>438</v>
      </c>
      <c r="D434" t="s">
        <v>1480</v>
      </c>
      <c r="E434" t="s">
        <v>1481</v>
      </c>
      <c r="F434" s="207">
        <v>46507</v>
      </c>
      <c r="G434">
        <v>1.05</v>
      </c>
      <c r="H434">
        <v>20529</v>
      </c>
      <c r="I434">
        <v>20054341</v>
      </c>
      <c r="J434">
        <v>3.02</v>
      </c>
      <c r="K434">
        <v>10210</v>
      </c>
      <c r="L434">
        <v>20960109</v>
      </c>
      <c r="M434">
        <v>42123</v>
      </c>
      <c r="N434">
        <v>863645</v>
      </c>
      <c r="O434">
        <v>60519</v>
      </c>
      <c r="P434">
        <v>452148</v>
      </c>
      <c r="Q434">
        <v>350978</v>
      </c>
      <c r="S434">
        <v>0</v>
      </c>
      <c r="T434">
        <v>71770</v>
      </c>
      <c r="U434">
        <v>7170</v>
      </c>
      <c r="V434">
        <v>1.0557000000000001</v>
      </c>
      <c r="W434">
        <v>1.0252666666000001</v>
      </c>
      <c r="X434">
        <v>2.0296666665999998</v>
      </c>
      <c r="Z434">
        <v>10210.969999999999</v>
      </c>
      <c r="AB434">
        <v>10209.64</v>
      </c>
      <c r="AD434">
        <v>10210.030000000001</v>
      </c>
      <c r="AF434" t="s">
        <v>182</v>
      </c>
      <c r="AG434" t="s">
        <v>185</v>
      </c>
      <c r="AI434" t="s">
        <v>186</v>
      </c>
      <c r="AJ434" t="s">
        <v>1482</v>
      </c>
      <c r="AK434" t="s">
        <v>188</v>
      </c>
    </row>
    <row r="435" spans="1:37" x14ac:dyDescent="0.3">
      <c r="A435">
        <v>8008</v>
      </c>
      <c r="B435" s="207">
        <v>46121</v>
      </c>
      <c r="C435" t="s">
        <v>438</v>
      </c>
      <c r="D435" t="s">
        <v>1483</v>
      </c>
      <c r="E435" t="s">
        <v>1484</v>
      </c>
      <c r="F435" s="207">
        <v>46599</v>
      </c>
      <c r="G435">
        <v>1.05</v>
      </c>
      <c r="H435">
        <v>28026</v>
      </c>
      <c r="I435">
        <v>27227559</v>
      </c>
      <c r="J435">
        <v>3.1059999999999999</v>
      </c>
      <c r="K435">
        <v>10122</v>
      </c>
      <c r="L435">
        <v>28367916</v>
      </c>
      <c r="M435">
        <v>38106</v>
      </c>
      <c r="N435">
        <v>1102251</v>
      </c>
      <c r="O435">
        <v>82406</v>
      </c>
      <c r="P435">
        <v>835877</v>
      </c>
      <c r="Q435">
        <v>183968</v>
      </c>
      <c r="S435">
        <v>0</v>
      </c>
      <c r="T435">
        <v>128550</v>
      </c>
      <c r="U435">
        <v>12850</v>
      </c>
      <c r="V435">
        <v>1.3077333333000001</v>
      </c>
      <c r="W435">
        <v>1.2705</v>
      </c>
      <c r="X435">
        <v>2.7788333333000002</v>
      </c>
      <c r="Z435">
        <v>10121.36</v>
      </c>
      <c r="AB435">
        <v>10122.91</v>
      </c>
      <c r="AD435">
        <v>10122</v>
      </c>
      <c r="AF435" t="s">
        <v>182</v>
      </c>
      <c r="AG435" t="s">
        <v>185</v>
      </c>
      <c r="AI435" t="s">
        <v>186</v>
      </c>
      <c r="AJ435" t="s">
        <v>1485</v>
      </c>
      <c r="AK435" t="s">
        <v>188</v>
      </c>
    </row>
    <row r="436" spans="1:37" x14ac:dyDescent="0.3">
      <c r="A436">
        <v>8008</v>
      </c>
      <c r="B436" s="207">
        <v>46121</v>
      </c>
      <c r="C436" t="s">
        <v>438</v>
      </c>
      <c r="D436" t="s">
        <v>1486</v>
      </c>
      <c r="E436" t="s">
        <v>1487</v>
      </c>
      <c r="F436" s="207">
        <v>46630</v>
      </c>
      <c r="G436">
        <v>1.05</v>
      </c>
      <c r="H436">
        <v>8872</v>
      </c>
      <c r="I436">
        <v>8604330</v>
      </c>
      <c r="J436">
        <v>3.1349999999999998</v>
      </c>
      <c r="K436">
        <v>10091</v>
      </c>
      <c r="L436">
        <v>8952734</v>
      </c>
      <c r="M436">
        <v>7649</v>
      </c>
      <c r="N436">
        <v>340755</v>
      </c>
      <c r="O436">
        <v>26064</v>
      </c>
      <c r="P436">
        <v>275980</v>
      </c>
      <c r="Q436">
        <v>38711</v>
      </c>
      <c r="S436">
        <v>0</v>
      </c>
      <c r="T436">
        <v>42270</v>
      </c>
      <c r="U436">
        <v>4220</v>
      </c>
      <c r="V436">
        <v>1.3927</v>
      </c>
      <c r="W436">
        <v>1.3527333333</v>
      </c>
      <c r="X436">
        <v>3.0663666666</v>
      </c>
      <c r="Z436">
        <v>10090.549999999999</v>
      </c>
      <c r="AB436">
        <v>10093.290000000001</v>
      </c>
      <c r="AD436">
        <v>10091.64</v>
      </c>
      <c r="AF436" t="s">
        <v>182</v>
      </c>
      <c r="AG436" t="s">
        <v>185</v>
      </c>
      <c r="AI436" t="s">
        <v>186</v>
      </c>
      <c r="AJ436" t="s">
        <v>1488</v>
      </c>
      <c r="AK436" t="s">
        <v>188</v>
      </c>
    </row>
    <row r="437" spans="1:37" x14ac:dyDescent="0.3">
      <c r="A437">
        <v>8008</v>
      </c>
      <c r="B437" s="207">
        <v>46121</v>
      </c>
      <c r="C437" t="s">
        <v>438</v>
      </c>
      <c r="D437" t="s">
        <v>1489</v>
      </c>
      <c r="E437" t="s">
        <v>1490</v>
      </c>
      <c r="F437" s="207">
        <v>46691</v>
      </c>
      <c r="G437">
        <v>1.05</v>
      </c>
      <c r="H437">
        <v>92732</v>
      </c>
      <c r="I437">
        <v>89610246</v>
      </c>
      <c r="J437">
        <v>3.1850000000000001</v>
      </c>
      <c r="K437">
        <v>10032</v>
      </c>
      <c r="L437">
        <v>93028742</v>
      </c>
      <c r="M437">
        <v>24794</v>
      </c>
      <c r="N437">
        <v>3393702</v>
      </c>
      <c r="O437">
        <v>271948</v>
      </c>
      <c r="P437">
        <v>2629703</v>
      </c>
      <c r="Q437">
        <v>492051</v>
      </c>
      <c r="S437">
        <v>0</v>
      </c>
      <c r="T437">
        <v>406220</v>
      </c>
      <c r="U437">
        <v>40610</v>
      </c>
      <c r="V437">
        <v>1.5598000000000001</v>
      </c>
      <c r="W437">
        <v>1.5141333333</v>
      </c>
      <c r="X437">
        <v>3.6831666666</v>
      </c>
      <c r="Z437">
        <v>10030.370000000001</v>
      </c>
      <c r="AB437">
        <v>10034.459999999999</v>
      </c>
      <c r="AD437">
        <v>10031.74</v>
      </c>
      <c r="AF437" t="s">
        <v>182</v>
      </c>
      <c r="AG437" t="s">
        <v>185</v>
      </c>
      <c r="AI437" t="s">
        <v>186</v>
      </c>
      <c r="AJ437" t="s">
        <v>1491</v>
      </c>
      <c r="AK437" t="s">
        <v>188</v>
      </c>
    </row>
    <row r="438" spans="1:37" x14ac:dyDescent="0.3">
      <c r="A438">
        <v>8008</v>
      </c>
      <c r="B438" s="207">
        <v>46121</v>
      </c>
      <c r="C438" t="s">
        <v>438</v>
      </c>
      <c r="D438" t="s">
        <v>1492</v>
      </c>
      <c r="E438" t="s">
        <v>1493</v>
      </c>
      <c r="F438" s="207">
        <v>46721</v>
      </c>
      <c r="G438">
        <v>1.05</v>
      </c>
      <c r="H438">
        <v>70995</v>
      </c>
      <c r="I438">
        <v>68483393</v>
      </c>
      <c r="J438">
        <v>3.2069999999999999</v>
      </c>
      <c r="K438">
        <v>10002</v>
      </c>
      <c r="L438">
        <v>71009197</v>
      </c>
      <c r="M438">
        <v>-9237</v>
      </c>
      <c r="N438">
        <v>2535041</v>
      </c>
      <c r="O438">
        <v>208023</v>
      </c>
      <c r="P438">
        <v>2058398</v>
      </c>
      <c r="Q438">
        <v>268620</v>
      </c>
      <c r="S438">
        <v>0</v>
      </c>
      <c r="T438">
        <v>317280</v>
      </c>
      <c r="U438">
        <v>31710</v>
      </c>
      <c r="V438">
        <v>1.6419999999999999</v>
      </c>
      <c r="W438">
        <v>1.5933333332999999</v>
      </c>
      <c r="X438">
        <v>4.0110666665999997</v>
      </c>
      <c r="Z438">
        <v>10000.870000000001</v>
      </c>
      <c r="AB438">
        <v>10005.64</v>
      </c>
      <c r="AD438">
        <v>10002.469999999999</v>
      </c>
      <c r="AF438" t="s">
        <v>182</v>
      </c>
      <c r="AG438" t="s">
        <v>185</v>
      </c>
      <c r="AI438" t="s">
        <v>186</v>
      </c>
      <c r="AJ438" t="s">
        <v>1494</v>
      </c>
      <c r="AK438" t="s">
        <v>188</v>
      </c>
    </row>
    <row r="439" spans="1:37" x14ac:dyDescent="0.3">
      <c r="A439">
        <v>8008</v>
      </c>
      <c r="B439" s="207">
        <v>46121</v>
      </c>
      <c r="C439" t="s">
        <v>438</v>
      </c>
      <c r="D439" t="s">
        <v>1495</v>
      </c>
      <c r="E439" t="s">
        <v>1496</v>
      </c>
      <c r="F439" s="207">
        <v>46752</v>
      </c>
      <c r="G439">
        <v>1.05</v>
      </c>
      <c r="H439">
        <v>1971</v>
      </c>
      <c r="I439">
        <v>1897753</v>
      </c>
      <c r="J439">
        <v>3.2290000000000001</v>
      </c>
      <c r="K439">
        <v>9972</v>
      </c>
      <c r="L439">
        <v>1965479</v>
      </c>
      <c r="M439">
        <v>-840</v>
      </c>
      <c r="N439">
        <v>68566</v>
      </c>
      <c r="O439">
        <v>5768</v>
      </c>
      <c r="P439">
        <v>31669</v>
      </c>
      <c r="Q439">
        <v>31129</v>
      </c>
      <c r="S439">
        <v>0</v>
      </c>
      <c r="T439">
        <v>5220</v>
      </c>
      <c r="U439">
        <v>510</v>
      </c>
      <c r="V439">
        <v>1.7269333333000001</v>
      </c>
      <c r="W439">
        <v>1.6749333333</v>
      </c>
      <c r="X439">
        <v>4.3666333333000003</v>
      </c>
      <c r="Z439">
        <v>9970.1299999999992</v>
      </c>
      <c r="AB439">
        <v>9975.7800000000007</v>
      </c>
      <c r="AD439">
        <v>9972.1299999999992</v>
      </c>
      <c r="AF439" t="s">
        <v>182</v>
      </c>
      <c r="AG439" t="s">
        <v>185</v>
      </c>
      <c r="AI439" t="s">
        <v>186</v>
      </c>
      <c r="AJ439" t="s">
        <v>1497</v>
      </c>
      <c r="AK439" t="s">
        <v>188</v>
      </c>
    </row>
    <row r="440" spans="1:37" x14ac:dyDescent="0.3">
      <c r="A440">
        <v>8008</v>
      </c>
      <c r="B440" s="207">
        <v>46121</v>
      </c>
      <c r="C440" t="s">
        <v>438</v>
      </c>
      <c r="D440" t="s">
        <v>1498</v>
      </c>
      <c r="E440" t="s">
        <v>1499</v>
      </c>
      <c r="F440" s="207">
        <v>46783</v>
      </c>
      <c r="G440">
        <v>2.5</v>
      </c>
      <c r="H440">
        <v>23736</v>
      </c>
      <c r="I440">
        <v>23505589</v>
      </c>
      <c r="J440">
        <v>3.25</v>
      </c>
      <c r="K440">
        <v>10676</v>
      </c>
      <c r="L440">
        <v>25340553</v>
      </c>
      <c r="M440">
        <v>-109707</v>
      </c>
      <c r="N440">
        <v>1944671</v>
      </c>
      <c r="O440">
        <v>171420</v>
      </c>
      <c r="P440">
        <v>1239587</v>
      </c>
      <c r="Q440">
        <v>533664</v>
      </c>
      <c r="S440">
        <v>0</v>
      </c>
      <c r="T440">
        <v>197530</v>
      </c>
      <c r="U440">
        <v>19750</v>
      </c>
      <c r="V440">
        <v>1.8119000000000001</v>
      </c>
      <c r="W440">
        <v>1.7564333333</v>
      </c>
      <c r="X440">
        <v>4.7390333333000001</v>
      </c>
      <c r="Z440">
        <v>10673.66</v>
      </c>
      <c r="AB440">
        <v>10680.12</v>
      </c>
      <c r="AD440">
        <v>10675.72</v>
      </c>
      <c r="AF440" t="s">
        <v>182</v>
      </c>
      <c r="AG440" t="s">
        <v>185</v>
      </c>
      <c r="AI440" t="s">
        <v>186</v>
      </c>
      <c r="AJ440" t="s">
        <v>1500</v>
      </c>
      <c r="AK440" t="s">
        <v>188</v>
      </c>
    </row>
    <row r="441" spans="1:37" x14ac:dyDescent="0.3">
      <c r="A441">
        <v>8008</v>
      </c>
      <c r="B441" s="207">
        <v>46121</v>
      </c>
      <c r="C441" t="s">
        <v>438</v>
      </c>
      <c r="D441" t="s">
        <v>1501</v>
      </c>
      <c r="E441" t="s">
        <v>1502</v>
      </c>
      <c r="F441" s="207">
        <v>46843</v>
      </c>
      <c r="G441">
        <v>2.5</v>
      </c>
      <c r="H441">
        <v>26527</v>
      </c>
      <c r="I441">
        <v>26217320</v>
      </c>
      <c r="J441">
        <v>3.29</v>
      </c>
      <c r="K441">
        <v>10613</v>
      </c>
      <c r="L441">
        <v>28153105</v>
      </c>
      <c r="M441">
        <v>-123223</v>
      </c>
      <c r="N441">
        <v>2059008</v>
      </c>
      <c r="O441">
        <v>190801</v>
      </c>
      <c r="P441">
        <v>1274464</v>
      </c>
      <c r="Q441">
        <v>593743</v>
      </c>
      <c r="S441">
        <v>0</v>
      </c>
      <c r="T441">
        <v>205120</v>
      </c>
      <c r="U441">
        <v>20500</v>
      </c>
      <c r="V441">
        <v>1.9743999999999999</v>
      </c>
      <c r="W441">
        <v>1.9109</v>
      </c>
      <c r="X441">
        <v>5.4935999999999998</v>
      </c>
      <c r="Z441">
        <v>10611.35</v>
      </c>
      <c r="AB441">
        <v>10617.92</v>
      </c>
      <c r="AD441">
        <v>10612.57</v>
      </c>
      <c r="AF441" t="s">
        <v>182</v>
      </c>
      <c r="AG441" t="s">
        <v>185</v>
      </c>
      <c r="AI441" t="s">
        <v>186</v>
      </c>
      <c r="AJ441" t="s">
        <v>1503</v>
      </c>
      <c r="AK441" t="s">
        <v>188</v>
      </c>
    </row>
    <row r="442" spans="1:37" x14ac:dyDescent="0.3">
      <c r="A442">
        <v>8008</v>
      </c>
      <c r="B442" s="207">
        <v>46121</v>
      </c>
      <c r="C442" t="s">
        <v>438</v>
      </c>
      <c r="D442" t="s">
        <v>1504</v>
      </c>
      <c r="E442" t="s">
        <v>1505</v>
      </c>
      <c r="F442" s="207">
        <v>46965</v>
      </c>
      <c r="G442">
        <v>2.5</v>
      </c>
      <c r="H442">
        <v>8387</v>
      </c>
      <c r="I442">
        <v>8256767</v>
      </c>
      <c r="J442">
        <v>3.3410000000000002</v>
      </c>
      <c r="K442">
        <v>10486</v>
      </c>
      <c r="L442">
        <v>8794608</v>
      </c>
      <c r="M442">
        <v>-38865</v>
      </c>
      <c r="N442">
        <v>576706</v>
      </c>
      <c r="O442">
        <v>59833</v>
      </c>
      <c r="P442">
        <v>351164</v>
      </c>
      <c r="Q442">
        <v>165709</v>
      </c>
      <c r="S442">
        <v>0</v>
      </c>
      <c r="T442">
        <v>57530</v>
      </c>
      <c r="U442">
        <v>5750</v>
      </c>
      <c r="V442">
        <v>2.3086666666000002</v>
      </c>
      <c r="W442">
        <v>2.2354333333</v>
      </c>
      <c r="X442">
        <v>7.0929333333000004</v>
      </c>
      <c r="Z442">
        <v>10485.34</v>
      </c>
      <c r="AB442">
        <v>10490.35</v>
      </c>
      <c r="AD442">
        <v>10484.4</v>
      </c>
      <c r="AF442" t="s">
        <v>182</v>
      </c>
      <c r="AG442" t="s">
        <v>185</v>
      </c>
      <c r="AI442" t="s">
        <v>186</v>
      </c>
      <c r="AJ442" t="s">
        <v>1506</v>
      </c>
      <c r="AK442" t="s">
        <v>188</v>
      </c>
    </row>
    <row r="443" spans="1:37" x14ac:dyDescent="0.3">
      <c r="A443">
        <v>8008</v>
      </c>
      <c r="B443" s="207">
        <v>46121</v>
      </c>
      <c r="C443" t="s">
        <v>438</v>
      </c>
      <c r="D443" t="s">
        <v>1507</v>
      </c>
      <c r="E443" t="s">
        <v>1508</v>
      </c>
      <c r="F443" s="207">
        <v>47026</v>
      </c>
      <c r="G443">
        <v>2.5</v>
      </c>
      <c r="H443">
        <v>6255</v>
      </c>
      <c r="I443">
        <v>6145188</v>
      </c>
      <c r="J443">
        <v>3.3679999999999999</v>
      </c>
      <c r="K443">
        <v>10422</v>
      </c>
      <c r="L443">
        <v>6518961</v>
      </c>
      <c r="M443">
        <v>-28802</v>
      </c>
      <c r="N443">
        <v>402575</v>
      </c>
      <c r="O443">
        <v>44440</v>
      </c>
      <c r="P443">
        <v>260746</v>
      </c>
      <c r="Q443">
        <v>97389</v>
      </c>
      <c r="S443">
        <v>0</v>
      </c>
      <c r="T443">
        <v>42720</v>
      </c>
      <c r="U443">
        <v>4270</v>
      </c>
      <c r="V443">
        <v>2.4758</v>
      </c>
      <c r="W443">
        <v>2.3969333332999998</v>
      </c>
      <c r="X443">
        <v>7.9860333333</v>
      </c>
      <c r="Z443">
        <v>10420.85</v>
      </c>
      <c r="AB443">
        <v>10426.18</v>
      </c>
      <c r="AD443">
        <v>10420.1</v>
      </c>
      <c r="AF443" t="s">
        <v>182</v>
      </c>
      <c r="AG443" t="s">
        <v>185</v>
      </c>
      <c r="AI443" t="s">
        <v>186</v>
      </c>
      <c r="AJ443" t="s">
        <v>1509</v>
      </c>
      <c r="AK443" t="s">
        <v>188</v>
      </c>
    </row>
    <row r="444" spans="1:37" x14ac:dyDescent="0.3">
      <c r="A444">
        <v>8008</v>
      </c>
      <c r="B444" s="207">
        <v>46121</v>
      </c>
      <c r="C444" t="s">
        <v>438</v>
      </c>
      <c r="D444" t="s">
        <v>1510</v>
      </c>
      <c r="E444" t="s">
        <v>1511</v>
      </c>
      <c r="F444" s="207">
        <v>47057</v>
      </c>
      <c r="G444">
        <v>2.5</v>
      </c>
      <c r="H444">
        <v>54981</v>
      </c>
      <c r="I444">
        <v>53961602</v>
      </c>
      <c r="J444">
        <v>3.3929999999999998</v>
      </c>
      <c r="K444">
        <v>10386</v>
      </c>
      <c r="L444">
        <v>57103266</v>
      </c>
      <c r="M444">
        <v>-274345</v>
      </c>
      <c r="N444">
        <v>3416009</v>
      </c>
      <c r="O444">
        <v>389805</v>
      </c>
      <c r="P444">
        <v>2718826</v>
      </c>
      <c r="Q444">
        <v>307378</v>
      </c>
      <c r="S444">
        <v>0</v>
      </c>
      <c r="T444">
        <v>435200</v>
      </c>
      <c r="U444">
        <v>43500</v>
      </c>
      <c r="V444">
        <v>2.5607000000000002</v>
      </c>
      <c r="W444">
        <v>2.4784666666000001</v>
      </c>
      <c r="X444">
        <v>8.4631333333000001</v>
      </c>
      <c r="Z444">
        <v>10385.35</v>
      </c>
      <c r="AB444">
        <v>10390.07</v>
      </c>
      <c r="AD444">
        <v>10384.06</v>
      </c>
      <c r="AF444" t="s">
        <v>182</v>
      </c>
      <c r="AG444" t="s">
        <v>185</v>
      </c>
      <c r="AI444" t="s">
        <v>186</v>
      </c>
      <c r="AJ444" t="s">
        <v>1512</v>
      </c>
      <c r="AK444" t="s">
        <v>188</v>
      </c>
    </row>
    <row r="445" spans="1:37" x14ac:dyDescent="0.3">
      <c r="A445">
        <v>8008</v>
      </c>
      <c r="B445" s="207">
        <v>46121</v>
      </c>
      <c r="C445" t="s">
        <v>438</v>
      </c>
      <c r="D445" t="s">
        <v>1513</v>
      </c>
      <c r="E445" t="s">
        <v>1514</v>
      </c>
      <c r="F445" s="207">
        <v>47118</v>
      </c>
      <c r="G445">
        <v>2.5</v>
      </c>
      <c r="H445">
        <v>77261</v>
      </c>
      <c r="I445">
        <v>75669728</v>
      </c>
      <c r="J445">
        <v>3.4550000000000001</v>
      </c>
      <c r="K445">
        <v>10312</v>
      </c>
      <c r="L445">
        <v>79671542</v>
      </c>
      <c r="M445">
        <v>-460523</v>
      </c>
      <c r="N445">
        <v>4462337</v>
      </c>
      <c r="O445">
        <v>545510</v>
      </c>
      <c r="P445">
        <v>3406185</v>
      </c>
      <c r="Q445">
        <v>510642</v>
      </c>
      <c r="S445">
        <v>0</v>
      </c>
      <c r="T445">
        <v>553210</v>
      </c>
      <c r="U445">
        <v>55300</v>
      </c>
      <c r="V445">
        <v>2.7278666666000002</v>
      </c>
      <c r="W445">
        <v>2.6379999999999999</v>
      </c>
      <c r="X445">
        <v>9.4481333332999995</v>
      </c>
      <c r="Z445">
        <v>10310.89</v>
      </c>
      <c r="AB445">
        <v>10315.32</v>
      </c>
      <c r="AD445">
        <v>10310.620000000001</v>
      </c>
      <c r="AF445" t="s">
        <v>182</v>
      </c>
      <c r="AG445" t="s">
        <v>185</v>
      </c>
      <c r="AI445" t="s">
        <v>186</v>
      </c>
      <c r="AJ445" t="s">
        <v>1515</v>
      </c>
      <c r="AK445" t="s">
        <v>188</v>
      </c>
    </row>
    <row r="446" spans="1:37" x14ac:dyDescent="0.3">
      <c r="A446">
        <v>8008</v>
      </c>
      <c r="B446" s="207">
        <v>46121</v>
      </c>
      <c r="C446" t="s">
        <v>438</v>
      </c>
      <c r="D446" t="s">
        <v>1516</v>
      </c>
      <c r="E446" t="s">
        <v>1517</v>
      </c>
      <c r="F446" s="207">
        <v>47177</v>
      </c>
      <c r="G446">
        <v>2.5</v>
      </c>
      <c r="H446">
        <v>205</v>
      </c>
      <c r="I446">
        <v>200446</v>
      </c>
      <c r="J446">
        <v>3.512</v>
      </c>
      <c r="K446">
        <v>10239</v>
      </c>
      <c r="L446">
        <v>209899</v>
      </c>
      <c r="M446">
        <v>-1523</v>
      </c>
      <c r="N446">
        <v>10976</v>
      </c>
      <c r="O446">
        <v>1442</v>
      </c>
      <c r="P446">
        <v>4070</v>
      </c>
      <c r="Q446">
        <v>5464</v>
      </c>
      <c r="S446">
        <v>0</v>
      </c>
      <c r="T446">
        <v>770</v>
      </c>
      <c r="U446">
        <v>70</v>
      </c>
      <c r="V446">
        <v>2.8895</v>
      </c>
      <c r="W446">
        <v>2.7916666665999998</v>
      </c>
      <c r="X446">
        <v>10.4600333333</v>
      </c>
      <c r="Z446">
        <v>10239.19</v>
      </c>
      <c r="AB446">
        <v>10242.129999999999</v>
      </c>
      <c r="AD446">
        <v>10238.34</v>
      </c>
      <c r="AF446" t="s">
        <v>182</v>
      </c>
      <c r="AG446" t="s">
        <v>185</v>
      </c>
      <c r="AI446" t="s">
        <v>186</v>
      </c>
      <c r="AJ446" t="s">
        <v>1518</v>
      </c>
      <c r="AK446" t="s">
        <v>188</v>
      </c>
    </row>
    <row r="447" spans="1:37" x14ac:dyDescent="0.3">
      <c r="A447">
        <v>8008</v>
      </c>
      <c r="B447" s="207">
        <v>46121</v>
      </c>
      <c r="C447" t="s">
        <v>438</v>
      </c>
      <c r="D447" t="s">
        <v>1519</v>
      </c>
      <c r="E447" t="s">
        <v>1520</v>
      </c>
      <c r="F447" s="207">
        <v>47208</v>
      </c>
      <c r="G447">
        <v>2.5</v>
      </c>
      <c r="H447">
        <v>95</v>
      </c>
      <c r="I447">
        <v>92804</v>
      </c>
      <c r="J447">
        <v>3.5419999999999998</v>
      </c>
      <c r="K447">
        <v>10201</v>
      </c>
      <c r="L447">
        <v>96909</v>
      </c>
      <c r="M447">
        <v>-771</v>
      </c>
      <c r="N447">
        <v>4876</v>
      </c>
      <c r="O447">
        <v>666</v>
      </c>
      <c r="P447">
        <v>3248</v>
      </c>
      <c r="Q447">
        <v>962</v>
      </c>
      <c r="S447">
        <v>0</v>
      </c>
      <c r="T447">
        <v>540</v>
      </c>
      <c r="U447">
        <v>50</v>
      </c>
      <c r="V447">
        <v>2.9744000000000002</v>
      </c>
      <c r="W447">
        <v>2.8720666665999999</v>
      </c>
      <c r="X447">
        <v>11.0145666666</v>
      </c>
      <c r="Z447">
        <v>10202.31</v>
      </c>
      <c r="AB447">
        <v>10202.379999999999</v>
      </c>
      <c r="AD447">
        <v>10199.969999999999</v>
      </c>
      <c r="AF447" t="s">
        <v>182</v>
      </c>
      <c r="AG447" t="s">
        <v>185</v>
      </c>
      <c r="AI447" t="s">
        <v>186</v>
      </c>
      <c r="AJ447" t="s">
        <v>1521</v>
      </c>
      <c r="AK447" t="s">
        <v>188</v>
      </c>
    </row>
    <row r="448" spans="1:37" x14ac:dyDescent="0.3">
      <c r="A448">
        <v>8008</v>
      </c>
      <c r="B448" s="207">
        <v>46121</v>
      </c>
      <c r="C448" t="s">
        <v>438</v>
      </c>
      <c r="D448" t="s">
        <v>1522</v>
      </c>
      <c r="E448" t="s">
        <v>1523</v>
      </c>
      <c r="F448" s="207">
        <v>47269</v>
      </c>
      <c r="G448">
        <v>2.5</v>
      </c>
      <c r="H448">
        <v>26180</v>
      </c>
      <c r="I448">
        <v>25530277</v>
      </c>
      <c r="J448">
        <v>3.5539999999999998</v>
      </c>
      <c r="K448">
        <v>10138</v>
      </c>
      <c r="L448">
        <v>26541284</v>
      </c>
      <c r="M448">
        <v>-219620</v>
      </c>
      <c r="N448">
        <v>1230627</v>
      </c>
      <c r="O448">
        <v>182968</v>
      </c>
      <c r="P448">
        <v>998021</v>
      </c>
      <c r="Q448">
        <v>49638</v>
      </c>
      <c r="S448">
        <v>0</v>
      </c>
      <c r="T448">
        <v>165330</v>
      </c>
      <c r="U448">
        <v>16530</v>
      </c>
      <c r="V448">
        <v>3.1415666666000002</v>
      </c>
      <c r="W448">
        <v>3.0341999999999998</v>
      </c>
      <c r="X448">
        <v>12.098100000000001</v>
      </c>
      <c r="Z448">
        <v>10137.969999999999</v>
      </c>
      <c r="AB448">
        <v>10139.58</v>
      </c>
      <c r="AD448">
        <v>10136.73</v>
      </c>
      <c r="AF448" t="s">
        <v>182</v>
      </c>
      <c r="AG448" t="s">
        <v>185</v>
      </c>
      <c r="AI448" t="s">
        <v>186</v>
      </c>
      <c r="AJ448" t="s">
        <v>1524</v>
      </c>
      <c r="AK448" t="s">
        <v>188</v>
      </c>
    </row>
    <row r="449" spans="1:37" x14ac:dyDescent="0.3">
      <c r="A449">
        <v>8008</v>
      </c>
      <c r="B449" s="207">
        <v>46121</v>
      </c>
      <c r="C449" t="s">
        <v>438</v>
      </c>
      <c r="D449" t="s">
        <v>1525</v>
      </c>
      <c r="E449" t="s">
        <v>1526</v>
      </c>
      <c r="F449" s="207">
        <v>47299</v>
      </c>
      <c r="G449">
        <v>2.5</v>
      </c>
      <c r="H449">
        <v>9074</v>
      </c>
      <c r="I449">
        <v>8840717</v>
      </c>
      <c r="J449">
        <v>3.5569999999999999</v>
      </c>
      <c r="K449">
        <v>10107</v>
      </c>
      <c r="L449">
        <v>9171091</v>
      </c>
      <c r="M449">
        <v>-76899</v>
      </c>
      <c r="N449">
        <v>407273</v>
      </c>
      <c r="O449">
        <v>63288</v>
      </c>
      <c r="P449">
        <v>293509</v>
      </c>
      <c r="Q449">
        <v>50476</v>
      </c>
      <c r="S449">
        <v>0</v>
      </c>
      <c r="T449">
        <v>49950</v>
      </c>
      <c r="U449">
        <v>4990</v>
      </c>
      <c r="V449">
        <v>3.2237666666</v>
      </c>
      <c r="W449">
        <v>3.1140666665999999</v>
      </c>
      <c r="X449">
        <v>12.649900000000001</v>
      </c>
      <c r="Z449">
        <v>10107.32</v>
      </c>
      <c r="AB449">
        <v>10109.91</v>
      </c>
      <c r="AD449">
        <v>10106.370000000001</v>
      </c>
      <c r="AF449" t="s">
        <v>182</v>
      </c>
      <c r="AG449" t="s">
        <v>185</v>
      </c>
      <c r="AI449" t="s">
        <v>186</v>
      </c>
      <c r="AJ449" t="s">
        <v>1527</v>
      </c>
      <c r="AK449" t="s">
        <v>188</v>
      </c>
    </row>
    <row r="450" spans="1:37" x14ac:dyDescent="0.3">
      <c r="A450">
        <v>8008</v>
      </c>
      <c r="B450" s="207">
        <v>46121</v>
      </c>
      <c r="C450" t="s">
        <v>438</v>
      </c>
      <c r="D450" t="s">
        <v>1528</v>
      </c>
      <c r="E450" t="s">
        <v>1529</v>
      </c>
      <c r="F450" s="207">
        <v>47330</v>
      </c>
      <c r="G450">
        <v>2.5</v>
      </c>
      <c r="H450">
        <v>53038</v>
      </c>
      <c r="I450">
        <v>51630662</v>
      </c>
      <c r="J450">
        <v>3.5590000000000002</v>
      </c>
      <c r="K450">
        <v>10077</v>
      </c>
      <c r="L450">
        <v>53446392</v>
      </c>
      <c r="M450">
        <v>-448705</v>
      </c>
      <c r="N450">
        <v>2264435</v>
      </c>
      <c r="O450">
        <v>369148</v>
      </c>
      <c r="P450">
        <v>1787157</v>
      </c>
      <c r="Q450">
        <v>108130</v>
      </c>
      <c r="S450">
        <v>0</v>
      </c>
      <c r="T450">
        <v>301870</v>
      </c>
      <c r="U450">
        <v>30180</v>
      </c>
      <c r="V450">
        <v>3.3086666666000002</v>
      </c>
      <c r="W450">
        <v>3.1964999999999999</v>
      </c>
      <c r="X450">
        <v>13.2372</v>
      </c>
      <c r="Z450">
        <v>10076.129999999999</v>
      </c>
      <c r="AB450">
        <v>10079.75</v>
      </c>
      <c r="AD450">
        <v>10075.48</v>
      </c>
      <c r="AF450" t="s">
        <v>182</v>
      </c>
      <c r="AG450" t="s">
        <v>185</v>
      </c>
      <c r="AI450" t="s">
        <v>186</v>
      </c>
      <c r="AJ450" t="s">
        <v>1530</v>
      </c>
      <c r="AK450" t="s">
        <v>188</v>
      </c>
    </row>
    <row r="451" spans="1:37" x14ac:dyDescent="0.3">
      <c r="A451">
        <v>8008</v>
      </c>
      <c r="B451" s="207">
        <v>46121</v>
      </c>
      <c r="C451" t="s">
        <v>438</v>
      </c>
      <c r="D451" t="s">
        <v>1531</v>
      </c>
      <c r="E451" t="s">
        <v>1532</v>
      </c>
      <c r="F451" s="207">
        <v>47361</v>
      </c>
      <c r="G451">
        <v>2.5</v>
      </c>
      <c r="H451">
        <v>380</v>
      </c>
      <c r="I451">
        <v>369564</v>
      </c>
      <c r="J451">
        <v>3.5609999999999999</v>
      </c>
      <c r="K451">
        <v>10046</v>
      </c>
      <c r="L451">
        <v>381748</v>
      </c>
      <c r="M451">
        <v>-3209</v>
      </c>
      <c r="N451">
        <v>15393</v>
      </c>
      <c r="O451">
        <v>2639</v>
      </c>
      <c r="P451">
        <v>11931</v>
      </c>
      <c r="Q451">
        <v>823</v>
      </c>
      <c r="S451">
        <v>0</v>
      </c>
      <c r="T451">
        <v>2030</v>
      </c>
      <c r="U451">
        <v>200</v>
      </c>
      <c r="V451">
        <v>3.3936000000000002</v>
      </c>
      <c r="W451">
        <v>3.2787333332999999</v>
      </c>
      <c r="X451">
        <v>13.8414</v>
      </c>
      <c r="Z451">
        <v>10045.07</v>
      </c>
      <c r="AB451">
        <v>10049.43</v>
      </c>
      <c r="AD451">
        <v>10044.74</v>
      </c>
      <c r="AF451" t="s">
        <v>182</v>
      </c>
      <c r="AG451" t="s">
        <v>185</v>
      </c>
      <c r="AI451" t="s">
        <v>186</v>
      </c>
      <c r="AJ451" t="s">
        <v>1533</v>
      </c>
      <c r="AK451" t="s">
        <v>188</v>
      </c>
    </row>
    <row r="452" spans="1:37" x14ac:dyDescent="0.3">
      <c r="A452">
        <v>8008</v>
      </c>
      <c r="B452" s="207">
        <v>46121</v>
      </c>
      <c r="C452" t="s">
        <v>438</v>
      </c>
      <c r="D452" t="s">
        <v>1534</v>
      </c>
      <c r="E452" t="s">
        <v>1535</v>
      </c>
      <c r="F452" s="207">
        <v>47422</v>
      </c>
      <c r="G452">
        <v>2.5</v>
      </c>
      <c r="H452">
        <v>2628</v>
      </c>
      <c r="I452">
        <v>2551504</v>
      </c>
      <c r="J452">
        <v>3.5649999999999999</v>
      </c>
      <c r="K452">
        <v>9986</v>
      </c>
      <c r="L452">
        <v>2624320</v>
      </c>
      <c r="M452">
        <v>-22380</v>
      </c>
      <c r="N452">
        <v>95196</v>
      </c>
      <c r="O452">
        <v>18176</v>
      </c>
      <c r="P452">
        <v>61679</v>
      </c>
      <c r="Q452">
        <v>15341</v>
      </c>
      <c r="S452">
        <v>0</v>
      </c>
      <c r="T452">
        <v>11170</v>
      </c>
      <c r="U452">
        <v>1090</v>
      </c>
      <c r="V452">
        <v>3.5607000000000002</v>
      </c>
      <c r="W452">
        <v>3.4400333333000002</v>
      </c>
      <c r="X452">
        <v>15.0791333333</v>
      </c>
      <c r="Z452">
        <v>9983.99</v>
      </c>
      <c r="AB452">
        <v>9990.6</v>
      </c>
      <c r="AD452">
        <v>9984.33</v>
      </c>
      <c r="AF452" t="s">
        <v>182</v>
      </c>
      <c r="AG452" t="s">
        <v>185</v>
      </c>
      <c r="AI452" t="s">
        <v>186</v>
      </c>
      <c r="AJ452" t="s">
        <v>1536</v>
      </c>
      <c r="AK452" t="s">
        <v>188</v>
      </c>
    </row>
    <row r="453" spans="1:37" x14ac:dyDescent="0.3">
      <c r="A453">
        <v>8008</v>
      </c>
      <c r="B453" s="207">
        <v>46121</v>
      </c>
      <c r="C453" t="s">
        <v>438</v>
      </c>
      <c r="D453" t="s">
        <v>1537</v>
      </c>
      <c r="E453" t="s">
        <v>1538</v>
      </c>
      <c r="F453" s="207">
        <v>47452</v>
      </c>
      <c r="G453">
        <v>2.5</v>
      </c>
      <c r="H453">
        <v>158066</v>
      </c>
      <c r="I453">
        <v>153320647</v>
      </c>
      <c r="J453">
        <v>3.5670000000000002</v>
      </c>
      <c r="K453">
        <v>9956</v>
      </c>
      <c r="L453">
        <v>157370508</v>
      </c>
      <c r="M453">
        <v>-1344012</v>
      </c>
      <c r="N453">
        <v>5393873</v>
      </c>
      <c r="O453">
        <v>1091106</v>
      </c>
      <c r="P453">
        <v>2772829</v>
      </c>
      <c r="Q453">
        <v>1529938</v>
      </c>
      <c r="S453">
        <v>0</v>
      </c>
      <c r="T453">
        <v>540920</v>
      </c>
      <c r="U453">
        <v>54060</v>
      </c>
      <c r="V453">
        <v>3.6429</v>
      </c>
      <c r="W453">
        <v>3.5191333333000001</v>
      </c>
      <c r="X453">
        <v>15.711333333300001</v>
      </c>
      <c r="Z453">
        <v>9953.58</v>
      </c>
      <c r="AB453">
        <v>9962.07</v>
      </c>
      <c r="AD453">
        <v>9954.98</v>
      </c>
      <c r="AF453" t="s">
        <v>182</v>
      </c>
      <c r="AG453" t="s">
        <v>185</v>
      </c>
      <c r="AI453" t="s">
        <v>186</v>
      </c>
      <c r="AJ453" t="s">
        <v>1539</v>
      </c>
      <c r="AK453" t="s">
        <v>188</v>
      </c>
    </row>
    <row r="454" spans="1:37" x14ac:dyDescent="0.3">
      <c r="A454">
        <v>8008</v>
      </c>
      <c r="B454" s="207">
        <v>46121</v>
      </c>
      <c r="C454" t="s">
        <v>438</v>
      </c>
      <c r="D454" t="s">
        <v>1540</v>
      </c>
      <c r="E454" t="s">
        <v>1541</v>
      </c>
      <c r="F454" s="207">
        <v>47483</v>
      </c>
      <c r="G454">
        <v>2.5</v>
      </c>
      <c r="H454">
        <v>7509</v>
      </c>
      <c r="I454">
        <v>7277202</v>
      </c>
      <c r="J454">
        <v>3.57</v>
      </c>
      <c r="K454">
        <v>9926</v>
      </c>
      <c r="L454">
        <v>7453433</v>
      </c>
      <c r="M454">
        <v>-63738</v>
      </c>
      <c r="N454">
        <v>239969</v>
      </c>
      <c r="O454">
        <v>51724</v>
      </c>
      <c r="P454">
        <v>147208</v>
      </c>
      <c r="Q454">
        <v>41037</v>
      </c>
      <c r="S454">
        <v>0</v>
      </c>
      <c r="T454">
        <v>27840</v>
      </c>
      <c r="U454">
        <v>2770</v>
      </c>
      <c r="V454">
        <v>3.7278666666000002</v>
      </c>
      <c r="W454">
        <v>3.6006666666</v>
      </c>
      <c r="X454">
        <v>16.380533333300001</v>
      </c>
      <c r="Z454">
        <v>9921.9599999999991</v>
      </c>
      <c r="AB454">
        <v>9932.41</v>
      </c>
      <c r="AD454">
        <v>9924.82</v>
      </c>
      <c r="AF454" t="s">
        <v>182</v>
      </c>
      <c r="AG454" t="s">
        <v>185</v>
      </c>
      <c r="AI454" t="s">
        <v>186</v>
      </c>
      <c r="AJ454" t="s">
        <v>1542</v>
      </c>
      <c r="AK454" t="s">
        <v>188</v>
      </c>
    </row>
    <row r="455" spans="1:37" x14ac:dyDescent="0.3">
      <c r="A455">
        <v>8008</v>
      </c>
      <c r="B455" s="207">
        <v>46121</v>
      </c>
      <c r="C455" t="s">
        <v>438</v>
      </c>
      <c r="D455" t="s">
        <v>1543</v>
      </c>
      <c r="E455" t="s">
        <v>1544</v>
      </c>
      <c r="F455" s="207">
        <v>47514</v>
      </c>
      <c r="G455">
        <v>2.5</v>
      </c>
      <c r="H455">
        <v>6424</v>
      </c>
      <c r="I455">
        <v>6218292</v>
      </c>
      <c r="J455">
        <v>3.5739999999999998</v>
      </c>
      <c r="K455">
        <v>9895</v>
      </c>
      <c r="L455">
        <v>6356548</v>
      </c>
      <c r="M455">
        <v>-53152</v>
      </c>
      <c r="N455">
        <v>191408</v>
      </c>
      <c r="O455">
        <v>44159</v>
      </c>
      <c r="P455">
        <v>57097</v>
      </c>
      <c r="Q455">
        <v>90152</v>
      </c>
      <c r="S455">
        <v>0</v>
      </c>
      <c r="T455">
        <v>14170</v>
      </c>
      <c r="U455">
        <v>1410</v>
      </c>
      <c r="V455">
        <v>3.8128000000000002</v>
      </c>
      <c r="W455">
        <v>3.6819999999999999</v>
      </c>
      <c r="X455">
        <v>17.0657</v>
      </c>
      <c r="Z455">
        <v>9889.7000000000007</v>
      </c>
      <c r="AB455">
        <v>9902.9</v>
      </c>
      <c r="AD455">
        <v>9894.7999999999993</v>
      </c>
      <c r="AF455" t="s">
        <v>182</v>
      </c>
      <c r="AG455" t="s">
        <v>185</v>
      </c>
      <c r="AI455" t="s">
        <v>186</v>
      </c>
      <c r="AJ455" t="s">
        <v>1545</v>
      </c>
      <c r="AK455" t="s">
        <v>188</v>
      </c>
    </row>
    <row r="456" spans="1:37" x14ac:dyDescent="0.3">
      <c r="A456">
        <v>8008</v>
      </c>
      <c r="B456" s="207">
        <v>46121</v>
      </c>
      <c r="C456" t="s">
        <v>438</v>
      </c>
      <c r="D456" t="s">
        <v>1546</v>
      </c>
      <c r="E456" t="s">
        <v>1547</v>
      </c>
      <c r="F456" s="207">
        <v>47542</v>
      </c>
      <c r="G456">
        <v>2.5</v>
      </c>
      <c r="H456">
        <v>84091</v>
      </c>
      <c r="I456">
        <v>81300354</v>
      </c>
      <c r="J456">
        <v>3.577</v>
      </c>
      <c r="K456">
        <v>9868</v>
      </c>
      <c r="L456">
        <v>82980997</v>
      </c>
      <c r="M456">
        <v>-661034</v>
      </c>
      <c r="N456">
        <v>2341677</v>
      </c>
      <c r="O456">
        <v>576943</v>
      </c>
      <c r="P456">
        <v>1517608</v>
      </c>
      <c r="Q456">
        <v>247126</v>
      </c>
      <c r="S456">
        <v>0</v>
      </c>
      <c r="T456">
        <v>293220</v>
      </c>
      <c r="U456">
        <v>29300</v>
      </c>
      <c r="V456">
        <v>3.8895</v>
      </c>
      <c r="W456">
        <v>3.7553666666000001</v>
      </c>
      <c r="X456">
        <v>17.698599999999999</v>
      </c>
      <c r="Z456">
        <v>9861.08</v>
      </c>
      <c r="AB456">
        <v>9876.7199999999993</v>
      </c>
      <c r="AD456">
        <v>9867.75</v>
      </c>
      <c r="AF456" t="s">
        <v>182</v>
      </c>
      <c r="AG456" t="s">
        <v>185</v>
      </c>
      <c r="AI456" t="s">
        <v>186</v>
      </c>
      <c r="AJ456" t="s">
        <v>1548</v>
      </c>
      <c r="AK456" t="s">
        <v>188</v>
      </c>
    </row>
    <row r="457" spans="1:37" x14ac:dyDescent="0.3">
      <c r="A457">
        <v>8008</v>
      </c>
      <c r="B457" s="207">
        <v>46121</v>
      </c>
      <c r="C457" t="s">
        <v>438</v>
      </c>
      <c r="D457" t="s">
        <v>1549</v>
      </c>
      <c r="E457" t="s">
        <v>1550</v>
      </c>
      <c r="F457" s="207">
        <v>47573</v>
      </c>
      <c r="G457">
        <v>2.5</v>
      </c>
      <c r="H457">
        <v>42757</v>
      </c>
      <c r="I457">
        <v>41284147</v>
      </c>
      <c r="J457">
        <v>3.5790000000000002</v>
      </c>
      <c r="K457">
        <v>9838</v>
      </c>
      <c r="L457">
        <v>42064336</v>
      </c>
      <c r="M457">
        <v>-318394</v>
      </c>
      <c r="N457">
        <v>1098583</v>
      </c>
      <c r="O457">
        <v>292740</v>
      </c>
      <c r="P457">
        <v>699667</v>
      </c>
      <c r="Q457">
        <v>106176</v>
      </c>
      <c r="S457">
        <v>0</v>
      </c>
      <c r="T457">
        <v>138930</v>
      </c>
      <c r="U457">
        <v>13880</v>
      </c>
      <c r="V457">
        <v>3.9744000000000002</v>
      </c>
      <c r="W457">
        <v>3.8365</v>
      </c>
      <c r="X457">
        <v>18.414633333299999</v>
      </c>
      <c r="Z457">
        <v>9830.84</v>
      </c>
      <c r="AB457">
        <v>9847.52</v>
      </c>
      <c r="AD457">
        <v>9837.6299999999992</v>
      </c>
      <c r="AF457" t="s">
        <v>182</v>
      </c>
      <c r="AG457" t="s">
        <v>185</v>
      </c>
      <c r="AI457" t="s">
        <v>186</v>
      </c>
      <c r="AJ457" t="s">
        <v>1551</v>
      </c>
      <c r="AK457" t="s">
        <v>188</v>
      </c>
    </row>
    <row r="458" spans="1:37" x14ac:dyDescent="0.3">
      <c r="A458">
        <v>8008</v>
      </c>
      <c r="B458" s="207">
        <v>46121</v>
      </c>
      <c r="C458" t="s">
        <v>438</v>
      </c>
      <c r="D458" t="s">
        <v>1552</v>
      </c>
      <c r="E458" t="s">
        <v>1553</v>
      </c>
      <c r="F458" s="207">
        <v>47634</v>
      </c>
      <c r="G458">
        <v>2.5</v>
      </c>
      <c r="H458">
        <v>89972</v>
      </c>
      <c r="I458">
        <v>86656419</v>
      </c>
      <c r="J458">
        <v>3.597</v>
      </c>
      <c r="K458">
        <v>9773</v>
      </c>
      <c r="L458">
        <v>87929635</v>
      </c>
      <c r="M458">
        <v>-658448</v>
      </c>
      <c r="N458">
        <v>1931664</v>
      </c>
      <c r="O458">
        <v>613462</v>
      </c>
      <c r="P458">
        <v>1054229</v>
      </c>
      <c r="Q458">
        <v>263973</v>
      </c>
      <c r="S458">
        <v>0</v>
      </c>
      <c r="T458">
        <v>233460</v>
      </c>
      <c r="U458">
        <v>23330</v>
      </c>
      <c r="V458">
        <v>4.1415666666000002</v>
      </c>
      <c r="W458">
        <v>3.9982333333</v>
      </c>
      <c r="X458">
        <v>19.807133333300001</v>
      </c>
      <c r="Z458">
        <v>9764.9</v>
      </c>
      <c r="AB458">
        <v>9781.7800000000007</v>
      </c>
      <c r="AD458">
        <v>9773.89</v>
      </c>
      <c r="AF458" t="s">
        <v>182</v>
      </c>
      <c r="AG458" t="s">
        <v>185</v>
      </c>
      <c r="AI458" t="s">
        <v>186</v>
      </c>
      <c r="AJ458" t="s">
        <v>1554</v>
      </c>
      <c r="AK458" t="s">
        <v>188</v>
      </c>
    </row>
    <row r="459" spans="1:37" x14ac:dyDescent="0.3">
      <c r="A459">
        <v>8008</v>
      </c>
      <c r="B459" s="207">
        <v>46121</v>
      </c>
      <c r="C459" t="s">
        <v>438</v>
      </c>
      <c r="D459" t="s">
        <v>1555</v>
      </c>
      <c r="E459" t="s">
        <v>1556</v>
      </c>
      <c r="F459" s="207">
        <v>47664</v>
      </c>
      <c r="G459">
        <v>2.5</v>
      </c>
      <c r="H459">
        <v>144195</v>
      </c>
      <c r="I459">
        <v>138716446</v>
      </c>
      <c r="J459">
        <v>3.6059999999999999</v>
      </c>
      <c r="K459">
        <v>9741</v>
      </c>
      <c r="L459">
        <v>140460348</v>
      </c>
      <c r="M459">
        <v>-1053282</v>
      </c>
      <c r="N459">
        <v>2797184</v>
      </c>
      <c r="O459">
        <v>981182</v>
      </c>
      <c r="P459">
        <v>1474672</v>
      </c>
      <c r="Q459">
        <v>341330</v>
      </c>
      <c r="S459">
        <v>0</v>
      </c>
      <c r="T459">
        <v>343790</v>
      </c>
      <c r="U459">
        <v>34360</v>
      </c>
      <c r="V459">
        <v>4.2237666666000004</v>
      </c>
      <c r="W459">
        <v>4.0778666666000003</v>
      </c>
      <c r="X459">
        <v>20.509933333300001</v>
      </c>
      <c r="Z459">
        <v>9732.91</v>
      </c>
      <c r="AB459">
        <v>9748.8799999999992</v>
      </c>
      <c r="AD459">
        <v>9742.0499999999993</v>
      </c>
      <c r="AF459" t="s">
        <v>182</v>
      </c>
      <c r="AG459" t="s">
        <v>185</v>
      </c>
      <c r="AI459" t="s">
        <v>186</v>
      </c>
      <c r="AJ459" t="s">
        <v>1557</v>
      </c>
      <c r="AK459" t="s">
        <v>188</v>
      </c>
    </row>
    <row r="460" spans="1:37" x14ac:dyDescent="0.3">
      <c r="A460">
        <v>8008</v>
      </c>
      <c r="B460" s="207">
        <v>46121</v>
      </c>
      <c r="C460" t="s">
        <v>438</v>
      </c>
      <c r="D460" t="s">
        <v>1558</v>
      </c>
      <c r="E460" t="s">
        <v>1559</v>
      </c>
      <c r="F460" s="207">
        <v>47695</v>
      </c>
      <c r="G460">
        <v>2.5</v>
      </c>
      <c r="H460">
        <v>22924</v>
      </c>
      <c r="I460">
        <v>22026005</v>
      </c>
      <c r="J460">
        <v>3.6160000000000001</v>
      </c>
      <c r="K460">
        <v>9707</v>
      </c>
      <c r="L460">
        <v>22252325</v>
      </c>
      <c r="M460">
        <v>-169416</v>
      </c>
      <c r="N460">
        <v>395736</v>
      </c>
      <c r="O460">
        <v>155660</v>
      </c>
      <c r="P460">
        <v>68487</v>
      </c>
      <c r="Q460">
        <v>171589</v>
      </c>
      <c r="S460">
        <v>0</v>
      </c>
      <c r="T460">
        <v>31370</v>
      </c>
      <c r="U460">
        <v>3130</v>
      </c>
      <c r="V460">
        <v>4.3086666665999998</v>
      </c>
      <c r="W460">
        <v>4.1598666666000002</v>
      </c>
      <c r="X460">
        <v>21.252233333300001</v>
      </c>
      <c r="Z460">
        <v>9699.2199999999993</v>
      </c>
      <c r="AB460">
        <v>9715.0499999999993</v>
      </c>
      <c r="AD460">
        <v>9708.91</v>
      </c>
      <c r="AF460" t="s">
        <v>182</v>
      </c>
      <c r="AG460" t="s">
        <v>185</v>
      </c>
      <c r="AI460" t="s">
        <v>186</v>
      </c>
      <c r="AJ460" t="s">
        <v>1560</v>
      </c>
      <c r="AK460" t="s">
        <v>188</v>
      </c>
    </row>
    <row r="461" spans="1:37" x14ac:dyDescent="0.3">
      <c r="A461">
        <v>8008</v>
      </c>
      <c r="B461" s="207">
        <v>46121</v>
      </c>
      <c r="C461" t="s">
        <v>438</v>
      </c>
      <c r="D461" t="s">
        <v>1561</v>
      </c>
      <c r="E461" t="s">
        <v>1562</v>
      </c>
      <c r="F461" s="207">
        <v>47726</v>
      </c>
      <c r="G461">
        <v>2.5</v>
      </c>
      <c r="H461">
        <v>4715</v>
      </c>
      <c r="I461">
        <v>4524724</v>
      </c>
      <c r="J461">
        <v>3.6240000000000001</v>
      </c>
      <c r="K461">
        <v>9674</v>
      </c>
      <c r="L461">
        <v>4561290</v>
      </c>
      <c r="M461">
        <v>-34780</v>
      </c>
      <c r="N461">
        <v>71346</v>
      </c>
      <c r="O461">
        <v>31950</v>
      </c>
      <c r="P461">
        <v>29815</v>
      </c>
      <c r="Q461">
        <v>9581</v>
      </c>
      <c r="S461">
        <v>0</v>
      </c>
      <c r="T461">
        <v>8640</v>
      </c>
      <c r="U461">
        <v>860</v>
      </c>
      <c r="V461">
        <v>4.3936000000000002</v>
      </c>
      <c r="W461">
        <v>4.2417666666000002</v>
      </c>
      <c r="X461">
        <v>22.011633333300001</v>
      </c>
      <c r="Z461">
        <v>9667.6299999999992</v>
      </c>
      <c r="AB461">
        <v>9680.84</v>
      </c>
      <c r="AD461">
        <v>9676.25</v>
      </c>
      <c r="AF461" t="s">
        <v>182</v>
      </c>
      <c r="AG461" t="s">
        <v>185</v>
      </c>
      <c r="AI461" t="s">
        <v>186</v>
      </c>
      <c r="AJ461" t="s">
        <v>1563</v>
      </c>
      <c r="AK461" t="s">
        <v>188</v>
      </c>
    </row>
    <row r="462" spans="1:37" x14ac:dyDescent="0.3">
      <c r="A462">
        <v>8008</v>
      </c>
      <c r="B462" s="207">
        <v>46121</v>
      </c>
      <c r="C462" t="s">
        <v>438</v>
      </c>
      <c r="D462" t="s">
        <v>1564</v>
      </c>
      <c r="E462" t="s">
        <v>1565</v>
      </c>
      <c r="F462" s="207">
        <v>47787</v>
      </c>
      <c r="G462">
        <v>2</v>
      </c>
      <c r="H462">
        <v>35613</v>
      </c>
      <c r="I462">
        <v>33292121</v>
      </c>
      <c r="J462">
        <v>3.6419999999999999</v>
      </c>
      <c r="K462">
        <v>9377</v>
      </c>
      <c r="L462">
        <v>33394309</v>
      </c>
      <c r="M462">
        <v>-210248</v>
      </c>
      <c r="N462">
        <v>312436</v>
      </c>
      <c r="O462">
        <v>192442</v>
      </c>
      <c r="P462">
        <v>59250</v>
      </c>
      <c r="Q462">
        <v>60744</v>
      </c>
      <c r="S462">
        <v>0</v>
      </c>
      <c r="T462">
        <v>35230</v>
      </c>
      <c r="U462">
        <v>3510</v>
      </c>
      <c r="V462">
        <v>4.5606999999999998</v>
      </c>
      <c r="W462">
        <v>4.4024333333000003</v>
      </c>
      <c r="X462">
        <v>23.5527666666</v>
      </c>
      <c r="Z462">
        <v>9371.44</v>
      </c>
      <c r="AB462">
        <v>9381.6299999999992</v>
      </c>
      <c r="AD462">
        <v>9379.2900000000009</v>
      </c>
      <c r="AF462" t="s">
        <v>182</v>
      </c>
      <c r="AG462" t="s">
        <v>185</v>
      </c>
      <c r="AI462" t="s">
        <v>186</v>
      </c>
      <c r="AJ462" t="s">
        <v>1566</v>
      </c>
      <c r="AK462" t="s">
        <v>188</v>
      </c>
    </row>
    <row r="463" spans="1:37" x14ac:dyDescent="0.3">
      <c r="A463">
        <v>8008</v>
      </c>
      <c r="B463" s="207">
        <v>46121</v>
      </c>
      <c r="C463" t="s">
        <v>438</v>
      </c>
      <c r="D463" t="s">
        <v>1567</v>
      </c>
      <c r="E463" t="s">
        <v>1568</v>
      </c>
      <c r="F463" s="207">
        <v>47817</v>
      </c>
      <c r="G463">
        <v>2</v>
      </c>
      <c r="H463">
        <v>7240</v>
      </c>
      <c r="I463">
        <v>6665100</v>
      </c>
      <c r="J463">
        <v>3.6509999999999998</v>
      </c>
      <c r="K463">
        <v>9345</v>
      </c>
      <c r="L463">
        <v>6765780</v>
      </c>
      <c r="M463">
        <v>49041</v>
      </c>
      <c r="N463">
        <v>51639</v>
      </c>
      <c r="O463">
        <v>28427</v>
      </c>
      <c r="P463">
        <v>0</v>
      </c>
      <c r="Q463">
        <v>23212</v>
      </c>
      <c r="S463">
        <v>0</v>
      </c>
      <c r="T463">
        <v>3970</v>
      </c>
      <c r="U463">
        <v>390</v>
      </c>
      <c r="V463">
        <v>4.6429</v>
      </c>
      <c r="W463">
        <v>4.4810999999999996</v>
      </c>
      <c r="X463">
        <v>24.332899999999999</v>
      </c>
      <c r="Z463">
        <v>9339.73</v>
      </c>
      <c r="AB463">
        <v>9349.64</v>
      </c>
      <c r="AD463">
        <v>9348.5400000000009</v>
      </c>
      <c r="AF463" t="s">
        <v>182</v>
      </c>
      <c r="AG463" t="s">
        <v>185</v>
      </c>
      <c r="AI463" t="s">
        <v>186</v>
      </c>
      <c r="AJ463" t="s">
        <v>1569</v>
      </c>
      <c r="AK463" t="s">
        <v>188</v>
      </c>
    </row>
    <row r="464" spans="1:37" x14ac:dyDescent="0.3">
      <c r="A464">
        <v>8008</v>
      </c>
      <c r="B464" s="207">
        <v>46121</v>
      </c>
      <c r="C464" t="s">
        <v>438</v>
      </c>
      <c r="D464" t="s">
        <v>1570</v>
      </c>
      <c r="E464" t="s">
        <v>1571</v>
      </c>
      <c r="F464" s="207">
        <v>47848</v>
      </c>
      <c r="G464">
        <v>2</v>
      </c>
      <c r="H464">
        <v>5</v>
      </c>
      <c r="I464">
        <v>4625</v>
      </c>
      <c r="J464">
        <v>3.661</v>
      </c>
      <c r="K464">
        <v>9313</v>
      </c>
      <c r="L464">
        <v>4656</v>
      </c>
      <c r="M464">
        <v>4</v>
      </c>
      <c r="N464">
        <v>27</v>
      </c>
      <c r="O464">
        <v>18</v>
      </c>
      <c r="P464">
        <v>0</v>
      </c>
      <c r="Q464">
        <v>9</v>
      </c>
      <c r="S464">
        <v>0</v>
      </c>
      <c r="T464">
        <v>0</v>
      </c>
      <c r="U464">
        <v>0</v>
      </c>
      <c r="V464">
        <v>4.7278666665999998</v>
      </c>
      <c r="W464">
        <v>4.5622333333</v>
      </c>
      <c r="X464">
        <v>25.154666666600001</v>
      </c>
      <c r="Z464">
        <v>9307.58</v>
      </c>
      <c r="AB464">
        <v>9316.77</v>
      </c>
      <c r="AD464">
        <v>9316.51</v>
      </c>
      <c r="AF464" t="s">
        <v>182</v>
      </c>
      <c r="AG464" t="s">
        <v>185</v>
      </c>
      <c r="AI464" t="s">
        <v>186</v>
      </c>
      <c r="AJ464" t="s">
        <v>1572</v>
      </c>
      <c r="AK464" t="s">
        <v>188</v>
      </c>
    </row>
    <row r="465" spans="1:37" x14ac:dyDescent="0.3">
      <c r="A465">
        <v>8008</v>
      </c>
      <c r="B465" s="207">
        <v>46121</v>
      </c>
      <c r="C465" t="s">
        <v>438</v>
      </c>
      <c r="D465" t="s">
        <v>1573</v>
      </c>
      <c r="E465" t="s">
        <v>1574</v>
      </c>
      <c r="F465" s="207">
        <v>47879</v>
      </c>
      <c r="G465">
        <v>2</v>
      </c>
      <c r="H465">
        <v>42006</v>
      </c>
      <c r="I465">
        <v>38898997</v>
      </c>
      <c r="J465">
        <v>3.6709999999999998</v>
      </c>
      <c r="K465">
        <v>9281</v>
      </c>
      <c r="L465">
        <v>38985768</v>
      </c>
      <c r="M465">
        <v>-70773</v>
      </c>
      <c r="N465">
        <v>157544</v>
      </c>
      <c r="O465">
        <v>95979</v>
      </c>
      <c r="P465">
        <v>0</v>
      </c>
      <c r="Q465">
        <v>61565</v>
      </c>
      <c r="S465">
        <v>0</v>
      </c>
      <c r="T465">
        <v>13430</v>
      </c>
      <c r="U465">
        <v>1340</v>
      </c>
      <c r="V465">
        <v>4.8128000000000002</v>
      </c>
      <c r="W465">
        <v>4.6432000000000002</v>
      </c>
      <c r="X465">
        <v>25.9916666666</v>
      </c>
      <c r="Z465">
        <v>9274.6299999999992</v>
      </c>
      <c r="AB465">
        <v>9283.5</v>
      </c>
      <c r="AD465">
        <v>9284.98</v>
      </c>
      <c r="AF465" t="s">
        <v>182</v>
      </c>
      <c r="AG465" t="s">
        <v>185</v>
      </c>
      <c r="AI465" t="s">
        <v>186</v>
      </c>
      <c r="AJ465" t="s">
        <v>1575</v>
      </c>
      <c r="AK465" t="s">
        <v>188</v>
      </c>
    </row>
    <row r="466" spans="1:37" x14ac:dyDescent="0.3">
      <c r="A466">
        <v>8008</v>
      </c>
      <c r="B466" s="207">
        <v>46121</v>
      </c>
      <c r="C466" t="s">
        <v>438</v>
      </c>
      <c r="D466" t="s">
        <v>1576</v>
      </c>
      <c r="E466" t="s">
        <v>1577</v>
      </c>
      <c r="F466" s="207">
        <v>47907</v>
      </c>
      <c r="G466">
        <v>2</v>
      </c>
      <c r="H466">
        <v>34695</v>
      </c>
      <c r="I466">
        <v>31437730</v>
      </c>
      <c r="J466">
        <v>3.681</v>
      </c>
      <c r="K466">
        <v>9251</v>
      </c>
      <c r="L466">
        <v>32096344</v>
      </c>
      <c r="M466">
        <v>581353</v>
      </c>
      <c r="N466">
        <v>77261</v>
      </c>
      <c r="O466">
        <v>18870</v>
      </c>
      <c r="P466">
        <v>0</v>
      </c>
      <c r="Q466">
        <v>58391</v>
      </c>
      <c r="S466">
        <v>0</v>
      </c>
      <c r="T466">
        <v>2640</v>
      </c>
      <c r="U466">
        <v>260</v>
      </c>
      <c r="V466">
        <v>4.8895</v>
      </c>
      <c r="W466">
        <v>4.7161333333000002</v>
      </c>
      <c r="X466">
        <v>26.7605333333</v>
      </c>
      <c r="Z466">
        <v>9244</v>
      </c>
      <c r="AB466">
        <v>9253.84</v>
      </c>
      <c r="AD466">
        <v>9256.2199999999993</v>
      </c>
      <c r="AF466" t="s">
        <v>182</v>
      </c>
      <c r="AG466" t="s">
        <v>185</v>
      </c>
      <c r="AI466" t="s">
        <v>186</v>
      </c>
      <c r="AJ466" t="s">
        <v>1578</v>
      </c>
      <c r="AK466" t="s">
        <v>188</v>
      </c>
    </row>
    <row r="467" spans="1:37" x14ac:dyDescent="0.3">
      <c r="A467">
        <v>8008</v>
      </c>
      <c r="B467" s="207">
        <v>46121</v>
      </c>
      <c r="C467" t="s">
        <v>438</v>
      </c>
      <c r="D467" t="s">
        <v>1579</v>
      </c>
      <c r="E467" t="s">
        <v>1580</v>
      </c>
      <c r="F467" s="207">
        <v>47938</v>
      </c>
      <c r="G467">
        <v>2</v>
      </c>
      <c r="H467">
        <v>238017</v>
      </c>
      <c r="I467">
        <v>217109868</v>
      </c>
      <c r="J467">
        <v>3.6920000000000002</v>
      </c>
      <c r="K467">
        <v>9218</v>
      </c>
      <c r="L467">
        <v>219404070</v>
      </c>
      <c r="M467">
        <v>2165036</v>
      </c>
      <c r="N467">
        <v>129166</v>
      </c>
      <c r="O467">
        <v>49399</v>
      </c>
      <c r="P467">
        <v>0</v>
      </c>
      <c r="Q467">
        <v>79767</v>
      </c>
      <c r="S467">
        <v>0</v>
      </c>
      <c r="T467">
        <v>6880</v>
      </c>
      <c r="U467">
        <v>680</v>
      </c>
      <c r="V467">
        <v>4.9744000000000002</v>
      </c>
      <c r="W467">
        <v>4.7967333332999997</v>
      </c>
      <c r="X467">
        <v>27.626300000000001</v>
      </c>
      <c r="Z467">
        <v>9210.68</v>
      </c>
      <c r="AB467">
        <v>9220.19</v>
      </c>
      <c r="AD467">
        <v>9224.82</v>
      </c>
      <c r="AF467" t="s">
        <v>182</v>
      </c>
      <c r="AG467" t="s">
        <v>185</v>
      </c>
      <c r="AI467" t="s">
        <v>186</v>
      </c>
      <c r="AJ467" t="s">
        <v>1581</v>
      </c>
      <c r="AK467" t="s">
        <v>188</v>
      </c>
    </row>
    <row r="468" spans="1:37" x14ac:dyDescent="0.3">
      <c r="A468">
        <v>8008</v>
      </c>
      <c r="B468" s="207">
        <v>46121</v>
      </c>
      <c r="C468" t="s">
        <v>438</v>
      </c>
      <c r="D468" t="s">
        <v>1582</v>
      </c>
      <c r="E468" t="s">
        <v>1583</v>
      </c>
      <c r="F468" s="207">
        <v>47968</v>
      </c>
      <c r="G468">
        <v>2</v>
      </c>
      <c r="H468">
        <v>108840</v>
      </c>
      <c r="I468">
        <v>98848696</v>
      </c>
      <c r="J468">
        <v>3.7010000000000001</v>
      </c>
      <c r="K468">
        <v>9187</v>
      </c>
      <c r="L468">
        <v>99991306</v>
      </c>
      <c r="M468">
        <v>1142610</v>
      </c>
      <c r="N468">
        <v>0</v>
      </c>
      <c r="O468">
        <v>0</v>
      </c>
      <c r="P468">
        <v>0</v>
      </c>
      <c r="Q468">
        <v>0</v>
      </c>
      <c r="S468">
        <v>0</v>
      </c>
      <c r="T468">
        <v>0</v>
      </c>
      <c r="U468">
        <v>0</v>
      </c>
      <c r="V468">
        <v>5.0566000000000004</v>
      </c>
      <c r="W468">
        <v>4.8758666666000003</v>
      </c>
      <c r="X468">
        <v>28.459566666600001</v>
      </c>
      <c r="Z468">
        <v>9177.61</v>
      </c>
      <c r="AB468">
        <v>9189.0300000000007</v>
      </c>
      <c r="AD468">
        <v>9195.08</v>
      </c>
      <c r="AF468" t="s">
        <v>182</v>
      </c>
      <c r="AG468" t="s">
        <v>185</v>
      </c>
      <c r="AI468" t="s">
        <v>186</v>
      </c>
      <c r="AJ468" t="s">
        <v>1584</v>
      </c>
      <c r="AK468" t="s">
        <v>188</v>
      </c>
    </row>
    <row r="469" spans="1:37" x14ac:dyDescent="0.3">
      <c r="A469">
        <v>8008</v>
      </c>
      <c r="B469" s="207">
        <v>46121</v>
      </c>
      <c r="C469" t="s">
        <v>438</v>
      </c>
      <c r="D469" t="s">
        <v>1585</v>
      </c>
      <c r="E469" t="s">
        <v>1586</v>
      </c>
      <c r="F469" s="207">
        <v>47664</v>
      </c>
      <c r="G469">
        <v>2.5</v>
      </c>
      <c r="H469">
        <v>23797</v>
      </c>
      <c r="I469">
        <v>22892856</v>
      </c>
      <c r="J469">
        <v>3.6059999999999999</v>
      </c>
      <c r="K469">
        <v>9741</v>
      </c>
      <c r="L469">
        <v>23180657</v>
      </c>
      <c r="M469">
        <v>-173826</v>
      </c>
      <c r="N469">
        <v>461627</v>
      </c>
      <c r="O469">
        <v>161928</v>
      </c>
      <c r="P469">
        <v>239225</v>
      </c>
      <c r="Q469">
        <v>60474</v>
      </c>
      <c r="S469">
        <v>0</v>
      </c>
      <c r="T469">
        <v>56140</v>
      </c>
      <c r="U469">
        <v>5590</v>
      </c>
      <c r="V469">
        <v>4.2237666666000004</v>
      </c>
      <c r="W469">
        <v>4.0778666666000003</v>
      </c>
      <c r="X469">
        <v>20.509933333300001</v>
      </c>
      <c r="Z469">
        <v>9732.91</v>
      </c>
      <c r="AB469">
        <v>9748.8799999999992</v>
      </c>
      <c r="AD469">
        <v>9742.0499999999993</v>
      </c>
      <c r="AF469" t="s">
        <v>182</v>
      </c>
      <c r="AG469" t="s">
        <v>185</v>
      </c>
      <c r="AI469" t="s">
        <v>186</v>
      </c>
      <c r="AJ469" t="s">
        <v>1587</v>
      </c>
      <c r="AK469" t="s">
        <v>188</v>
      </c>
    </row>
    <row r="470" spans="1:37" x14ac:dyDescent="0.3">
      <c r="A470">
        <v>8008</v>
      </c>
      <c r="B470" s="207">
        <v>46121</v>
      </c>
      <c r="C470" t="s">
        <v>438</v>
      </c>
      <c r="D470" t="s">
        <v>1588</v>
      </c>
      <c r="E470" t="s">
        <v>1589</v>
      </c>
      <c r="F470" s="207">
        <v>47695</v>
      </c>
      <c r="G470">
        <v>2.5</v>
      </c>
      <c r="H470">
        <v>14751</v>
      </c>
      <c r="I470">
        <v>14173163</v>
      </c>
      <c r="J470">
        <v>3.6160000000000001</v>
      </c>
      <c r="K470">
        <v>9707</v>
      </c>
      <c r="L470">
        <v>14318795</v>
      </c>
      <c r="M470">
        <v>-109013</v>
      </c>
      <c r="N470">
        <v>254645</v>
      </c>
      <c r="O470">
        <v>100163</v>
      </c>
      <c r="P470">
        <v>119782</v>
      </c>
      <c r="Q470">
        <v>34700</v>
      </c>
      <c r="S470">
        <v>0</v>
      </c>
      <c r="T470">
        <v>30780</v>
      </c>
      <c r="U470">
        <v>3070</v>
      </c>
      <c r="V470">
        <v>4.3086666665999998</v>
      </c>
      <c r="W470">
        <v>4.1598666666000002</v>
      </c>
      <c r="X470">
        <v>21.252233333300001</v>
      </c>
      <c r="Z470">
        <v>9699.2199999999993</v>
      </c>
      <c r="AB470">
        <v>9715.0499999999993</v>
      </c>
      <c r="AD470">
        <v>9708.91</v>
      </c>
      <c r="AF470" t="s">
        <v>182</v>
      </c>
      <c r="AG470" t="s">
        <v>185</v>
      </c>
      <c r="AI470" t="s">
        <v>186</v>
      </c>
      <c r="AJ470" t="s">
        <v>1590</v>
      </c>
      <c r="AK470" t="s">
        <v>188</v>
      </c>
    </row>
    <row r="471" spans="1:37" x14ac:dyDescent="0.3">
      <c r="A471">
        <v>8008</v>
      </c>
      <c r="B471" s="207">
        <v>46121</v>
      </c>
      <c r="C471" t="s">
        <v>438</v>
      </c>
      <c r="D471" t="s">
        <v>1591</v>
      </c>
      <c r="E471" t="s">
        <v>1592</v>
      </c>
      <c r="F471" s="207">
        <v>47787</v>
      </c>
      <c r="G471">
        <v>2</v>
      </c>
      <c r="H471">
        <v>13834</v>
      </c>
      <c r="I471">
        <v>12932446</v>
      </c>
      <c r="J471">
        <v>3.6419999999999999</v>
      </c>
      <c r="K471">
        <v>9377</v>
      </c>
      <c r="L471">
        <v>12972141</v>
      </c>
      <c r="M471">
        <v>-81672</v>
      </c>
      <c r="N471">
        <v>121367</v>
      </c>
      <c r="O471">
        <v>74755</v>
      </c>
      <c r="P471">
        <v>25582</v>
      </c>
      <c r="Q471">
        <v>21030</v>
      </c>
      <c r="S471">
        <v>0</v>
      </c>
      <c r="T471">
        <v>14040</v>
      </c>
      <c r="U471">
        <v>1400</v>
      </c>
      <c r="V471">
        <v>4.5606999999999998</v>
      </c>
      <c r="W471">
        <v>4.4024333333000003</v>
      </c>
      <c r="X471">
        <v>23.5527666666</v>
      </c>
      <c r="Z471">
        <v>9371.44</v>
      </c>
      <c r="AB471">
        <v>9381.6299999999992</v>
      </c>
      <c r="AD471">
        <v>9379.2900000000009</v>
      </c>
      <c r="AF471" t="s">
        <v>182</v>
      </c>
      <c r="AG471" t="s">
        <v>185</v>
      </c>
      <c r="AI471" t="s">
        <v>186</v>
      </c>
      <c r="AJ471" t="s">
        <v>1593</v>
      </c>
      <c r="AK471" t="s">
        <v>188</v>
      </c>
    </row>
    <row r="472" spans="1:37" x14ac:dyDescent="0.3">
      <c r="A472">
        <v>8008</v>
      </c>
      <c r="B472" s="207">
        <v>46121</v>
      </c>
      <c r="C472" t="s">
        <v>438</v>
      </c>
      <c r="D472" t="s">
        <v>1594</v>
      </c>
      <c r="E472" t="s">
        <v>1595</v>
      </c>
      <c r="F472" s="207">
        <v>47848</v>
      </c>
      <c r="G472">
        <v>2</v>
      </c>
      <c r="H472">
        <v>530</v>
      </c>
      <c r="I472">
        <v>485959</v>
      </c>
      <c r="J472">
        <v>3.661</v>
      </c>
      <c r="K472">
        <v>9313</v>
      </c>
      <c r="L472">
        <v>493589</v>
      </c>
      <c r="M472">
        <v>4747</v>
      </c>
      <c r="N472">
        <v>2883</v>
      </c>
      <c r="O472">
        <v>1242</v>
      </c>
      <c r="P472">
        <v>0</v>
      </c>
      <c r="Q472">
        <v>1641</v>
      </c>
      <c r="S472">
        <v>0</v>
      </c>
      <c r="T472">
        <v>170</v>
      </c>
      <c r="U472">
        <v>10</v>
      </c>
      <c r="V472">
        <v>4.7278666665999998</v>
      </c>
      <c r="W472">
        <v>4.5622333333</v>
      </c>
      <c r="X472">
        <v>25.154666666600001</v>
      </c>
      <c r="Z472">
        <v>9307.58</v>
      </c>
      <c r="AB472">
        <v>9316.77</v>
      </c>
      <c r="AD472">
        <v>9316.51</v>
      </c>
      <c r="AF472" t="s">
        <v>182</v>
      </c>
      <c r="AG472" t="s">
        <v>185</v>
      </c>
      <c r="AI472" t="s">
        <v>186</v>
      </c>
      <c r="AJ472" t="s">
        <v>1596</v>
      </c>
      <c r="AK472" t="s">
        <v>188</v>
      </c>
    </row>
    <row r="473" spans="1:37" x14ac:dyDescent="0.3">
      <c r="A473">
        <v>8008</v>
      </c>
      <c r="B473" s="207">
        <v>46121</v>
      </c>
      <c r="C473" t="s">
        <v>438</v>
      </c>
      <c r="D473" t="s">
        <v>3374</v>
      </c>
      <c r="E473" t="s">
        <v>3375</v>
      </c>
      <c r="F473" s="207">
        <v>47938</v>
      </c>
      <c r="G473">
        <v>2</v>
      </c>
      <c r="H473">
        <v>78</v>
      </c>
      <c r="I473">
        <v>71536</v>
      </c>
      <c r="J473">
        <v>3.6920000000000002</v>
      </c>
      <c r="K473">
        <v>9218</v>
      </c>
      <c r="L473">
        <v>71900</v>
      </c>
      <c r="M473">
        <v>322</v>
      </c>
      <c r="N473">
        <v>42</v>
      </c>
      <c r="O473">
        <v>6</v>
      </c>
      <c r="P473">
        <v>0</v>
      </c>
      <c r="Q473">
        <v>36</v>
      </c>
      <c r="S473">
        <v>0</v>
      </c>
      <c r="T473">
        <v>0</v>
      </c>
      <c r="U473">
        <v>0</v>
      </c>
      <c r="V473">
        <v>4.9744000000000002</v>
      </c>
      <c r="W473">
        <v>4.7967333332999997</v>
      </c>
      <c r="X473">
        <v>27.626300000000001</v>
      </c>
      <c r="Z473">
        <v>9210.68</v>
      </c>
      <c r="AB473">
        <v>9220.19</v>
      </c>
      <c r="AD473">
        <v>9224.82</v>
      </c>
      <c r="AF473" t="s">
        <v>182</v>
      </c>
      <c r="AG473" t="s">
        <v>185</v>
      </c>
      <c r="AI473" t="s">
        <v>186</v>
      </c>
      <c r="AJ473" t="s">
        <v>3376</v>
      </c>
      <c r="AK473" t="s">
        <v>188</v>
      </c>
    </row>
    <row r="474" spans="1:37" x14ac:dyDescent="0.3">
      <c r="A474">
        <v>8008</v>
      </c>
      <c r="B474" s="207">
        <v>46121</v>
      </c>
      <c r="C474" t="s">
        <v>438</v>
      </c>
      <c r="D474" t="s">
        <v>1597</v>
      </c>
      <c r="E474" t="s">
        <v>1598</v>
      </c>
      <c r="F474" s="207">
        <v>47634</v>
      </c>
      <c r="G474">
        <v>2.5</v>
      </c>
      <c r="H474">
        <v>104390</v>
      </c>
      <c r="I474">
        <v>100543098</v>
      </c>
      <c r="J474">
        <v>3.597</v>
      </c>
      <c r="K474">
        <v>9773</v>
      </c>
      <c r="L474">
        <v>102020346</v>
      </c>
      <c r="M474">
        <v>-763967</v>
      </c>
      <c r="N474">
        <v>2241215</v>
      </c>
      <c r="O474">
        <v>711772</v>
      </c>
      <c r="P474">
        <v>1317359</v>
      </c>
      <c r="Q474">
        <v>212084</v>
      </c>
      <c r="S474">
        <v>0</v>
      </c>
      <c r="T474">
        <v>284060</v>
      </c>
      <c r="U474">
        <v>28400</v>
      </c>
      <c r="V474">
        <v>4.1415666666000002</v>
      </c>
      <c r="W474">
        <v>3.9982333333</v>
      </c>
      <c r="X474">
        <v>19.807133333300001</v>
      </c>
      <c r="Z474">
        <v>9764.9</v>
      </c>
      <c r="AB474">
        <v>9781.7800000000007</v>
      </c>
      <c r="AD474">
        <v>9773.89</v>
      </c>
      <c r="AF474" t="s">
        <v>182</v>
      </c>
      <c r="AG474" t="s">
        <v>185</v>
      </c>
      <c r="AI474" t="s">
        <v>186</v>
      </c>
      <c r="AJ474" t="s">
        <v>1599</v>
      </c>
      <c r="AK474" t="s">
        <v>188</v>
      </c>
    </row>
    <row r="475" spans="1:37" x14ac:dyDescent="0.3">
      <c r="A475">
        <v>8008</v>
      </c>
      <c r="B475" s="207">
        <v>46121</v>
      </c>
      <c r="C475" t="s">
        <v>438</v>
      </c>
      <c r="D475" t="s">
        <v>1600</v>
      </c>
      <c r="E475" t="s">
        <v>1601</v>
      </c>
      <c r="F475" s="207">
        <v>47756</v>
      </c>
      <c r="G475">
        <v>2.5</v>
      </c>
      <c r="H475">
        <v>10371</v>
      </c>
      <c r="I475">
        <v>9940485</v>
      </c>
      <c r="J475">
        <v>3.633</v>
      </c>
      <c r="K475">
        <v>9642</v>
      </c>
      <c r="L475">
        <v>9999718</v>
      </c>
      <c r="M475">
        <v>-76354</v>
      </c>
      <c r="N475">
        <v>135587</v>
      </c>
      <c r="O475">
        <v>70132</v>
      </c>
      <c r="P475">
        <v>43789</v>
      </c>
      <c r="Q475">
        <v>21666</v>
      </c>
      <c r="S475">
        <v>0</v>
      </c>
      <c r="T475">
        <v>15940</v>
      </c>
      <c r="U475">
        <v>1590</v>
      </c>
      <c r="V475">
        <v>4.4757999999999996</v>
      </c>
      <c r="W475">
        <v>4.3208666665999997</v>
      </c>
      <c r="X475">
        <v>22.7617666666</v>
      </c>
      <c r="Z475">
        <v>9636.26</v>
      </c>
      <c r="AB475">
        <v>9648.01</v>
      </c>
      <c r="AD475">
        <v>9644.6</v>
      </c>
      <c r="AF475" t="s">
        <v>182</v>
      </c>
      <c r="AG475" t="s">
        <v>185</v>
      </c>
      <c r="AI475" t="s">
        <v>186</v>
      </c>
      <c r="AJ475" t="s">
        <v>1602</v>
      </c>
      <c r="AK475" t="s">
        <v>188</v>
      </c>
    </row>
    <row r="476" spans="1:37" x14ac:dyDescent="0.3">
      <c r="A476">
        <v>8008</v>
      </c>
      <c r="B476" s="207">
        <v>46121</v>
      </c>
      <c r="C476" t="s">
        <v>438</v>
      </c>
      <c r="D476" t="s">
        <v>1603</v>
      </c>
      <c r="E476" t="s">
        <v>1604</v>
      </c>
      <c r="F476" s="207">
        <v>46173</v>
      </c>
      <c r="G476">
        <v>1.05</v>
      </c>
      <c r="H476">
        <v>20000</v>
      </c>
      <c r="I476">
        <v>19869978</v>
      </c>
      <c r="J476">
        <v>2.661</v>
      </c>
      <c r="K476">
        <v>10497</v>
      </c>
      <c r="L476">
        <v>20994000</v>
      </c>
      <c r="M476">
        <v>82472</v>
      </c>
      <c r="N476">
        <v>1041550</v>
      </c>
      <c r="O476">
        <v>59528</v>
      </c>
      <c r="P476">
        <v>828622</v>
      </c>
      <c r="Q476">
        <v>153400</v>
      </c>
      <c r="S476">
        <v>0</v>
      </c>
      <c r="T476">
        <v>124340</v>
      </c>
      <c r="U476">
        <v>12430</v>
      </c>
      <c r="V476">
        <v>0.1406333333</v>
      </c>
      <c r="W476">
        <v>0.13800000000000001</v>
      </c>
      <c r="X476">
        <v>0.1147666666</v>
      </c>
      <c r="Z476">
        <v>10496.69</v>
      </c>
      <c r="AB476">
        <v>10497.5</v>
      </c>
      <c r="AD476">
        <v>10496.83</v>
      </c>
      <c r="AF476" t="s">
        <v>182</v>
      </c>
      <c r="AG476" t="s">
        <v>185</v>
      </c>
      <c r="AI476" t="s">
        <v>186</v>
      </c>
      <c r="AJ476" t="s">
        <v>1605</v>
      </c>
      <c r="AK476" t="s">
        <v>188</v>
      </c>
    </row>
    <row r="477" spans="1:37" x14ac:dyDescent="0.3">
      <c r="A477">
        <v>8008</v>
      </c>
      <c r="B477" s="207">
        <v>46121</v>
      </c>
      <c r="C477" t="s">
        <v>438</v>
      </c>
      <c r="D477" t="s">
        <v>1606</v>
      </c>
      <c r="E477" t="s">
        <v>1607</v>
      </c>
      <c r="F477" s="207">
        <v>46295</v>
      </c>
      <c r="G477">
        <v>1.05</v>
      </c>
      <c r="H477">
        <v>6019</v>
      </c>
      <c r="I477">
        <v>5945900</v>
      </c>
      <c r="J477">
        <v>2.81</v>
      </c>
      <c r="K477">
        <v>10397</v>
      </c>
      <c r="L477">
        <v>6257954</v>
      </c>
      <c r="M477">
        <v>20670</v>
      </c>
      <c r="N477">
        <v>291384</v>
      </c>
      <c r="O477">
        <v>17852</v>
      </c>
      <c r="P477">
        <v>268534</v>
      </c>
      <c r="Q477">
        <v>4998</v>
      </c>
      <c r="S477">
        <v>0</v>
      </c>
      <c r="T477">
        <v>40090</v>
      </c>
      <c r="U477">
        <v>4000</v>
      </c>
      <c r="V477">
        <v>0.47489999999999999</v>
      </c>
      <c r="W477">
        <v>0.4641666666</v>
      </c>
      <c r="X477">
        <v>0.58816666660000005</v>
      </c>
      <c r="Z477">
        <v>10396.25</v>
      </c>
      <c r="AB477">
        <v>10398.09</v>
      </c>
      <c r="AD477">
        <v>10398.34</v>
      </c>
      <c r="AF477" t="s">
        <v>182</v>
      </c>
      <c r="AG477" t="s">
        <v>185</v>
      </c>
      <c r="AI477" t="s">
        <v>186</v>
      </c>
      <c r="AJ477" t="s">
        <v>1608</v>
      </c>
      <c r="AK477" t="s">
        <v>188</v>
      </c>
    </row>
    <row r="478" spans="1:37" x14ac:dyDescent="0.3">
      <c r="A478">
        <v>8008</v>
      </c>
      <c r="B478" s="207">
        <v>46121</v>
      </c>
      <c r="C478" t="s">
        <v>438</v>
      </c>
      <c r="D478" t="s">
        <v>1609</v>
      </c>
      <c r="E478" t="s">
        <v>1610</v>
      </c>
      <c r="F478" s="207">
        <v>46326</v>
      </c>
      <c r="G478">
        <v>1.05</v>
      </c>
      <c r="H478">
        <v>5192</v>
      </c>
      <c r="I478">
        <v>5121816</v>
      </c>
      <c r="J478">
        <v>2.835</v>
      </c>
      <c r="K478">
        <v>10371</v>
      </c>
      <c r="L478">
        <v>5384623</v>
      </c>
      <c r="M478">
        <v>16285</v>
      </c>
      <c r="N478">
        <v>246522</v>
      </c>
      <c r="O478">
        <v>15386</v>
      </c>
      <c r="P478">
        <v>226677</v>
      </c>
      <c r="Q478">
        <v>4459</v>
      </c>
      <c r="S478">
        <v>0</v>
      </c>
      <c r="T478">
        <v>33880</v>
      </c>
      <c r="U478">
        <v>3380</v>
      </c>
      <c r="V478">
        <v>0.55979999999999996</v>
      </c>
      <c r="W478">
        <v>0.54663333329999997</v>
      </c>
      <c r="X478">
        <v>0.75286666660000001</v>
      </c>
      <c r="Z478">
        <v>10370.69</v>
      </c>
      <c r="AB478">
        <v>10372.08</v>
      </c>
      <c r="AD478">
        <v>10372.34</v>
      </c>
      <c r="AF478" t="s">
        <v>182</v>
      </c>
      <c r="AG478" t="s">
        <v>185</v>
      </c>
      <c r="AI478" t="s">
        <v>186</v>
      </c>
      <c r="AJ478" t="s">
        <v>1611</v>
      </c>
      <c r="AK478" t="s">
        <v>188</v>
      </c>
    </row>
    <row r="479" spans="1:37" x14ac:dyDescent="0.3">
      <c r="A479">
        <v>8008</v>
      </c>
      <c r="B479" s="207">
        <v>46121</v>
      </c>
      <c r="C479" t="s">
        <v>438</v>
      </c>
      <c r="D479" t="s">
        <v>1612</v>
      </c>
      <c r="E479" t="s">
        <v>1613</v>
      </c>
      <c r="F479" s="207">
        <v>46387</v>
      </c>
      <c r="G479">
        <v>1.05</v>
      </c>
      <c r="H479">
        <v>85044</v>
      </c>
      <c r="I479">
        <v>83641115</v>
      </c>
      <c r="J479">
        <v>2.879</v>
      </c>
      <c r="K479">
        <v>10320</v>
      </c>
      <c r="L479">
        <v>87765408</v>
      </c>
      <c r="M479">
        <v>241675</v>
      </c>
      <c r="N479">
        <v>3882618</v>
      </c>
      <c r="O479">
        <v>251581</v>
      </c>
      <c r="P479">
        <v>3562866</v>
      </c>
      <c r="Q479">
        <v>68171</v>
      </c>
      <c r="S479">
        <v>0</v>
      </c>
      <c r="T479">
        <v>534020</v>
      </c>
      <c r="U479">
        <v>53400</v>
      </c>
      <c r="V479">
        <v>0.72693333329999998</v>
      </c>
      <c r="W479">
        <v>0.70840000000000003</v>
      </c>
      <c r="X479">
        <v>1.1285666666</v>
      </c>
      <c r="Z479">
        <v>10319.76</v>
      </c>
      <c r="AB479">
        <v>10321.15</v>
      </c>
      <c r="AD479">
        <v>10319.91</v>
      </c>
      <c r="AF479" t="s">
        <v>182</v>
      </c>
      <c r="AG479" t="s">
        <v>185</v>
      </c>
      <c r="AI479" t="s">
        <v>186</v>
      </c>
      <c r="AJ479" t="s">
        <v>1614</v>
      </c>
      <c r="AK479" t="s">
        <v>188</v>
      </c>
    </row>
    <row r="480" spans="1:37" x14ac:dyDescent="0.3">
      <c r="A480">
        <v>8008</v>
      </c>
      <c r="B480" s="207">
        <v>46121</v>
      </c>
      <c r="C480" t="s">
        <v>438</v>
      </c>
      <c r="D480" t="s">
        <v>1615</v>
      </c>
      <c r="E480" t="s">
        <v>1616</v>
      </c>
      <c r="F480" s="207">
        <v>46418</v>
      </c>
      <c r="G480">
        <v>1.05</v>
      </c>
      <c r="H480">
        <v>4870</v>
      </c>
      <c r="I480">
        <v>4781506</v>
      </c>
      <c r="J480">
        <v>2.915</v>
      </c>
      <c r="K480">
        <v>10292</v>
      </c>
      <c r="L480">
        <v>5012204</v>
      </c>
      <c r="M480">
        <v>12878</v>
      </c>
      <c r="N480">
        <v>217820</v>
      </c>
      <c r="O480">
        <v>14394</v>
      </c>
      <c r="P480">
        <v>199946</v>
      </c>
      <c r="Q480">
        <v>3480</v>
      </c>
      <c r="S480">
        <v>0</v>
      </c>
      <c r="T480">
        <v>30000</v>
      </c>
      <c r="U480">
        <v>3000</v>
      </c>
      <c r="V480">
        <v>0.81189999999999996</v>
      </c>
      <c r="W480">
        <v>0.7903</v>
      </c>
      <c r="X480">
        <v>1.3450666666</v>
      </c>
      <c r="Z480">
        <v>10292.44</v>
      </c>
      <c r="AB480">
        <v>10293.469999999999</v>
      </c>
      <c r="AD480">
        <v>10292.27</v>
      </c>
      <c r="AF480" t="s">
        <v>182</v>
      </c>
      <c r="AG480" t="s">
        <v>185</v>
      </c>
      <c r="AI480" t="s">
        <v>186</v>
      </c>
      <c r="AJ480" t="s">
        <v>1617</v>
      </c>
      <c r="AK480" t="s">
        <v>188</v>
      </c>
    </row>
    <row r="481" spans="1:37" x14ac:dyDescent="0.3">
      <c r="A481">
        <v>8008</v>
      </c>
      <c r="B481" s="207">
        <v>46121</v>
      </c>
      <c r="C481" t="s">
        <v>438</v>
      </c>
      <c r="D481" t="s">
        <v>1618</v>
      </c>
      <c r="E481" t="s">
        <v>1619</v>
      </c>
      <c r="F481" s="207">
        <v>46507</v>
      </c>
      <c r="G481">
        <v>1.05</v>
      </c>
      <c r="H481">
        <v>4326</v>
      </c>
      <c r="I481">
        <v>4225977</v>
      </c>
      <c r="J481">
        <v>3.02</v>
      </c>
      <c r="K481">
        <v>10210</v>
      </c>
      <c r="L481">
        <v>4416846</v>
      </c>
      <c r="M481">
        <v>8877</v>
      </c>
      <c r="N481">
        <v>181992</v>
      </c>
      <c r="O481">
        <v>12753</v>
      </c>
      <c r="P481">
        <v>165402</v>
      </c>
      <c r="Q481">
        <v>3837</v>
      </c>
      <c r="S481">
        <v>0</v>
      </c>
      <c r="T481">
        <v>24940</v>
      </c>
      <c r="U481">
        <v>2490</v>
      </c>
      <c r="V481">
        <v>1.0557000000000001</v>
      </c>
      <c r="W481">
        <v>1.0252666666000001</v>
      </c>
      <c r="X481">
        <v>2.0296666665999998</v>
      </c>
      <c r="Z481">
        <v>10210.969999999999</v>
      </c>
      <c r="AB481">
        <v>10209.64</v>
      </c>
      <c r="AD481">
        <v>10210.030000000001</v>
      </c>
      <c r="AF481" t="s">
        <v>182</v>
      </c>
      <c r="AG481" t="s">
        <v>185</v>
      </c>
      <c r="AI481" t="s">
        <v>186</v>
      </c>
      <c r="AJ481" t="s">
        <v>1620</v>
      </c>
      <c r="AK481" t="s">
        <v>188</v>
      </c>
    </row>
    <row r="482" spans="1:37" x14ac:dyDescent="0.3">
      <c r="A482">
        <v>8008</v>
      </c>
      <c r="B482" s="207">
        <v>46121</v>
      </c>
      <c r="C482" t="s">
        <v>438</v>
      </c>
      <c r="D482" t="s">
        <v>1621</v>
      </c>
      <c r="E482" t="s">
        <v>1622</v>
      </c>
      <c r="F482" s="207">
        <v>46568</v>
      </c>
      <c r="G482">
        <v>1.05</v>
      </c>
      <c r="H482">
        <v>1</v>
      </c>
      <c r="I482">
        <v>974</v>
      </c>
      <c r="J482">
        <v>3.0779999999999998</v>
      </c>
      <c r="K482">
        <v>10152</v>
      </c>
      <c r="L482">
        <v>1015</v>
      </c>
      <c r="M482">
        <v>1</v>
      </c>
      <c r="N482">
        <v>40</v>
      </c>
      <c r="O482">
        <v>2</v>
      </c>
      <c r="P482">
        <v>37</v>
      </c>
      <c r="Q482">
        <v>1</v>
      </c>
      <c r="S482">
        <v>0</v>
      </c>
      <c r="T482">
        <v>0</v>
      </c>
      <c r="U482">
        <v>0</v>
      </c>
      <c r="V482">
        <v>1.2228333333000001</v>
      </c>
      <c r="W482">
        <v>1.1880333332999999</v>
      </c>
      <c r="X482">
        <v>2.5088333333000001</v>
      </c>
      <c r="Z482">
        <v>10151.92</v>
      </c>
      <c r="AB482">
        <v>10152.41</v>
      </c>
      <c r="AD482">
        <v>10151.92</v>
      </c>
      <c r="AF482" t="s">
        <v>182</v>
      </c>
      <c r="AG482" t="s">
        <v>185</v>
      </c>
      <c r="AI482" t="s">
        <v>186</v>
      </c>
      <c r="AJ482" t="s">
        <v>1623</v>
      </c>
      <c r="AK482" t="s">
        <v>188</v>
      </c>
    </row>
    <row r="483" spans="1:37" x14ac:dyDescent="0.3">
      <c r="A483">
        <v>8008</v>
      </c>
      <c r="B483" s="207">
        <v>46121</v>
      </c>
      <c r="C483" t="s">
        <v>438</v>
      </c>
      <c r="D483" t="s">
        <v>1624</v>
      </c>
      <c r="E483" t="s">
        <v>1625</v>
      </c>
      <c r="F483" s="207">
        <v>46599</v>
      </c>
      <c r="G483">
        <v>1.05</v>
      </c>
      <c r="H483">
        <v>2095</v>
      </c>
      <c r="I483">
        <v>2035315</v>
      </c>
      <c r="J483">
        <v>3.1059999999999999</v>
      </c>
      <c r="K483">
        <v>10122</v>
      </c>
      <c r="L483">
        <v>2120559</v>
      </c>
      <c r="M483">
        <v>2849</v>
      </c>
      <c r="N483">
        <v>82395</v>
      </c>
      <c r="O483">
        <v>6160</v>
      </c>
      <c r="P483">
        <v>69870</v>
      </c>
      <c r="Q483">
        <v>6365</v>
      </c>
      <c r="S483">
        <v>0</v>
      </c>
      <c r="T483">
        <v>10640</v>
      </c>
      <c r="U483">
        <v>1060</v>
      </c>
      <c r="V483">
        <v>1.3077333333000001</v>
      </c>
      <c r="W483">
        <v>1.2705</v>
      </c>
      <c r="X483">
        <v>2.7788333333000002</v>
      </c>
      <c r="Z483">
        <v>10121.36</v>
      </c>
      <c r="AB483">
        <v>10122.91</v>
      </c>
      <c r="AD483">
        <v>10122</v>
      </c>
      <c r="AF483" t="s">
        <v>182</v>
      </c>
      <c r="AG483" t="s">
        <v>185</v>
      </c>
      <c r="AI483" t="s">
        <v>186</v>
      </c>
      <c r="AJ483" t="s">
        <v>1626</v>
      </c>
      <c r="AK483" t="s">
        <v>188</v>
      </c>
    </row>
    <row r="484" spans="1:37" x14ac:dyDescent="0.3">
      <c r="A484">
        <v>8008</v>
      </c>
      <c r="B484" s="207">
        <v>46121</v>
      </c>
      <c r="C484" t="s">
        <v>438</v>
      </c>
      <c r="D484" t="s">
        <v>1627</v>
      </c>
      <c r="E484" t="s">
        <v>1628</v>
      </c>
      <c r="F484" s="207">
        <v>46630</v>
      </c>
      <c r="G484">
        <v>1.05</v>
      </c>
      <c r="H484">
        <v>33754</v>
      </c>
      <c r="I484">
        <v>32735634</v>
      </c>
      <c r="J484">
        <v>3.1349999999999998</v>
      </c>
      <c r="K484">
        <v>10091</v>
      </c>
      <c r="L484">
        <v>34061161</v>
      </c>
      <c r="M484">
        <v>29104</v>
      </c>
      <c r="N484">
        <v>1296423</v>
      </c>
      <c r="O484">
        <v>99162</v>
      </c>
      <c r="P484">
        <v>959048</v>
      </c>
      <c r="Q484">
        <v>238213</v>
      </c>
      <c r="S484">
        <v>0</v>
      </c>
      <c r="T484">
        <v>148130</v>
      </c>
      <c r="U484">
        <v>14800</v>
      </c>
      <c r="V484">
        <v>1.3927</v>
      </c>
      <c r="W484">
        <v>1.3527333333</v>
      </c>
      <c r="X484">
        <v>3.0663666666</v>
      </c>
      <c r="Z484">
        <v>10090.549999999999</v>
      </c>
      <c r="AB484">
        <v>10093.290000000001</v>
      </c>
      <c r="AD484">
        <v>10091.64</v>
      </c>
      <c r="AF484" t="s">
        <v>182</v>
      </c>
      <c r="AG484" t="s">
        <v>185</v>
      </c>
      <c r="AI484" t="s">
        <v>186</v>
      </c>
      <c r="AJ484" t="s">
        <v>1629</v>
      </c>
      <c r="AK484" t="s">
        <v>188</v>
      </c>
    </row>
    <row r="485" spans="1:37" x14ac:dyDescent="0.3">
      <c r="A485">
        <v>8008</v>
      </c>
      <c r="B485" s="207">
        <v>46121</v>
      </c>
      <c r="C485" t="s">
        <v>438</v>
      </c>
      <c r="D485" t="s">
        <v>1630</v>
      </c>
      <c r="E485" t="s">
        <v>1631</v>
      </c>
      <c r="F485" s="207">
        <v>46691</v>
      </c>
      <c r="G485">
        <v>1.05</v>
      </c>
      <c r="H485">
        <v>44319</v>
      </c>
      <c r="I485">
        <v>42826985</v>
      </c>
      <c r="J485">
        <v>3.1850000000000001</v>
      </c>
      <c r="K485">
        <v>10032</v>
      </c>
      <c r="L485">
        <v>44460820</v>
      </c>
      <c r="M485">
        <v>11900</v>
      </c>
      <c r="N485">
        <v>1621935</v>
      </c>
      <c r="O485">
        <v>129970</v>
      </c>
      <c r="P485">
        <v>400233</v>
      </c>
      <c r="Q485">
        <v>1091732</v>
      </c>
      <c r="S485">
        <v>0</v>
      </c>
      <c r="T485">
        <v>74210</v>
      </c>
      <c r="U485">
        <v>7400</v>
      </c>
      <c r="V485">
        <v>1.5598000000000001</v>
      </c>
      <c r="W485">
        <v>1.5141333333</v>
      </c>
      <c r="X485">
        <v>3.6831666666</v>
      </c>
      <c r="Z485">
        <v>10030.370000000001</v>
      </c>
      <c r="AB485">
        <v>10034.459999999999</v>
      </c>
      <c r="AD485">
        <v>10031.74</v>
      </c>
      <c r="AF485" t="s">
        <v>182</v>
      </c>
      <c r="AG485" t="s">
        <v>185</v>
      </c>
      <c r="AI485" t="s">
        <v>186</v>
      </c>
      <c r="AJ485" t="s">
        <v>1632</v>
      </c>
      <c r="AK485" t="s">
        <v>188</v>
      </c>
    </row>
    <row r="486" spans="1:37" x14ac:dyDescent="0.3">
      <c r="A486">
        <v>8008</v>
      </c>
      <c r="B486" s="207">
        <v>46121</v>
      </c>
      <c r="C486" t="s">
        <v>438</v>
      </c>
      <c r="D486" t="s">
        <v>1633</v>
      </c>
      <c r="E486" t="s">
        <v>1634</v>
      </c>
      <c r="F486" s="207">
        <v>46721</v>
      </c>
      <c r="G486">
        <v>1.05</v>
      </c>
      <c r="H486">
        <v>18254</v>
      </c>
      <c r="I486">
        <v>17608224</v>
      </c>
      <c r="J486">
        <v>3.2069999999999999</v>
      </c>
      <c r="K486">
        <v>10002</v>
      </c>
      <c r="L486">
        <v>18257650</v>
      </c>
      <c r="M486">
        <v>-2375</v>
      </c>
      <c r="N486">
        <v>651801</v>
      </c>
      <c r="O486">
        <v>53486</v>
      </c>
      <c r="P486">
        <v>285703</v>
      </c>
      <c r="Q486">
        <v>312612</v>
      </c>
      <c r="S486">
        <v>0</v>
      </c>
      <c r="T486">
        <v>47480</v>
      </c>
      <c r="U486">
        <v>4740</v>
      </c>
      <c r="V486">
        <v>1.6419999999999999</v>
      </c>
      <c r="W486">
        <v>1.5933333332999999</v>
      </c>
      <c r="X486">
        <v>4.0110666665999997</v>
      </c>
      <c r="Z486">
        <v>10000.870000000001</v>
      </c>
      <c r="AB486">
        <v>10005.64</v>
      </c>
      <c r="AD486">
        <v>10002.469999999999</v>
      </c>
      <c r="AF486" t="s">
        <v>182</v>
      </c>
      <c r="AG486" t="s">
        <v>185</v>
      </c>
      <c r="AI486" t="s">
        <v>186</v>
      </c>
      <c r="AJ486" t="s">
        <v>1635</v>
      </c>
      <c r="AK486" t="s">
        <v>188</v>
      </c>
    </row>
    <row r="487" spans="1:37" x14ac:dyDescent="0.3">
      <c r="A487">
        <v>8008</v>
      </c>
      <c r="B487" s="207">
        <v>46121</v>
      </c>
      <c r="C487" t="s">
        <v>438</v>
      </c>
      <c r="D487" t="s">
        <v>1636</v>
      </c>
      <c r="E487" t="s">
        <v>1637</v>
      </c>
      <c r="F487" s="207">
        <v>46904</v>
      </c>
      <c r="G487">
        <v>2.5</v>
      </c>
      <c r="H487">
        <v>77715</v>
      </c>
      <c r="I487">
        <v>76656679</v>
      </c>
      <c r="J487">
        <v>3.3180000000000001</v>
      </c>
      <c r="K487">
        <v>10550</v>
      </c>
      <c r="L487">
        <v>81989325</v>
      </c>
      <c r="M487">
        <v>-354657</v>
      </c>
      <c r="N487">
        <v>5687303</v>
      </c>
      <c r="O487">
        <v>556717</v>
      </c>
      <c r="P487">
        <v>3268300</v>
      </c>
      <c r="Q487">
        <v>1862286</v>
      </c>
      <c r="S487">
        <v>0</v>
      </c>
      <c r="T487">
        <v>535490</v>
      </c>
      <c r="U487">
        <v>53540</v>
      </c>
      <c r="V487">
        <v>2.1415666666000002</v>
      </c>
      <c r="W487">
        <v>2.0731666666000002</v>
      </c>
      <c r="X487">
        <v>6.2661666666000002</v>
      </c>
      <c r="Z487">
        <v>10547.66</v>
      </c>
      <c r="AB487">
        <v>10554.08</v>
      </c>
      <c r="AD487">
        <v>10548.53</v>
      </c>
      <c r="AF487" t="s">
        <v>182</v>
      </c>
      <c r="AG487" t="s">
        <v>185</v>
      </c>
      <c r="AI487" t="s">
        <v>186</v>
      </c>
      <c r="AJ487" t="s">
        <v>1638</v>
      </c>
      <c r="AK487" t="s">
        <v>188</v>
      </c>
    </row>
    <row r="488" spans="1:37" x14ac:dyDescent="0.3">
      <c r="A488">
        <v>8008</v>
      </c>
      <c r="B488" s="207">
        <v>46121</v>
      </c>
      <c r="C488" t="s">
        <v>438</v>
      </c>
      <c r="D488" t="s">
        <v>1639</v>
      </c>
      <c r="E488" t="s">
        <v>1640</v>
      </c>
      <c r="F488" s="207">
        <v>46934</v>
      </c>
      <c r="G488">
        <v>2.5</v>
      </c>
      <c r="H488">
        <v>76568</v>
      </c>
      <c r="I488">
        <v>75453428</v>
      </c>
      <c r="J488">
        <v>3.3290000000000002</v>
      </c>
      <c r="K488">
        <v>10518</v>
      </c>
      <c r="L488">
        <v>80534221</v>
      </c>
      <c r="M488">
        <v>-355969</v>
      </c>
      <c r="N488">
        <v>5436762</v>
      </c>
      <c r="O488">
        <v>547390</v>
      </c>
      <c r="P488">
        <v>4429393</v>
      </c>
      <c r="Q488">
        <v>459979</v>
      </c>
      <c r="S488">
        <v>0</v>
      </c>
      <c r="T488">
        <v>696710</v>
      </c>
      <c r="U488">
        <v>69650</v>
      </c>
      <c r="V488">
        <v>2.2237666666</v>
      </c>
      <c r="W488">
        <v>2.1530333332999998</v>
      </c>
      <c r="X488">
        <v>6.6643333333000001</v>
      </c>
      <c r="Z488">
        <v>10516.97</v>
      </c>
      <c r="AB488">
        <v>10522.72</v>
      </c>
      <c r="AD488">
        <v>10516.97</v>
      </c>
      <c r="AF488" t="s">
        <v>182</v>
      </c>
      <c r="AG488" t="s">
        <v>185</v>
      </c>
      <c r="AI488" t="s">
        <v>186</v>
      </c>
      <c r="AJ488" t="s">
        <v>1641</v>
      </c>
      <c r="AK488" t="s">
        <v>188</v>
      </c>
    </row>
    <row r="489" spans="1:37" x14ac:dyDescent="0.3">
      <c r="A489">
        <v>8008</v>
      </c>
      <c r="B489" s="207">
        <v>46121</v>
      </c>
      <c r="C489" t="s">
        <v>438</v>
      </c>
      <c r="D489" t="s">
        <v>1642</v>
      </c>
      <c r="E489" t="s">
        <v>1643</v>
      </c>
      <c r="F489" s="207">
        <v>46996</v>
      </c>
      <c r="G489">
        <v>2.5</v>
      </c>
      <c r="H489">
        <v>1000</v>
      </c>
      <c r="I489">
        <v>983497</v>
      </c>
      <c r="J489">
        <v>3.355</v>
      </c>
      <c r="K489">
        <v>10454</v>
      </c>
      <c r="L489">
        <v>1045400</v>
      </c>
      <c r="M489">
        <v>-4619</v>
      </c>
      <c r="N489">
        <v>66522</v>
      </c>
      <c r="O489">
        <v>7119</v>
      </c>
      <c r="P489">
        <v>52294</v>
      </c>
      <c r="Q489">
        <v>7109</v>
      </c>
      <c r="S489">
        <v>0</v>
      </c>
      <c r="T489">
        <v>8310</v>
      </c>
      <c r="U489">
        <v>830</v>
      </c>
      <c r="V489">
        <v>2.3936000000000002</v>
      </c>
      <c r="W489">
        <v>2.3175666665999999</v>
      </c>
      <c r="X489">
        <v>7.5385333333000002</v>
      </c>
      <c r="Z489">
        <v>10452.52</v>
      </c>
      <c r="AB489">
        <v>10457.700000000001</v>
      </c>
      <c r="AD489">
        <v>10451.799999999999</v>
      </c>
      <c r="AF489" t="s">
        <v>182</v>
      </c>
      <c r="AG489" t="s">
        <v>185</v>
      </c>
      <c r="AI489" t="s">
        <v>186</v>
      </c>
      <c r="AJ489" t="s">
        <v>1644</v>
      </c>
      <c r="AK489" t="s">
        <v>188</v>
      </c>
    </row>
    <row r="490" spans="1:37" x14ac:dyDescent="0.3">
      <c r="A490">
        <v>8008</v>
      </c>
      <c r="B490" s="207">
        <v>46121</v>
      </c>
      <c r="C490" t="s">
        <v>438</v>
      </c>
      <c r="D490" t="s">
        <v>1645</v>
      </c>
      <c r="E490" t="s">
        <v>1646</v>
      </c>
      <c r="F490" s="207">
        <v>47026</v>
      </c>
      <c r="G490">
        <v>2.5</v>
      </c>
      <c r="H490">
        <v>11807</v>
      </c>
      <c r="I490">
        <v>11599719</v>
      </c>
      <c r="J490">
        <v>3.3679999999999999</v>
      </c>
      <c r="K490">
        <v>10422</v>
      </c>
      <c r="L490">
        <v>12305254</v>
      </c>
      <c r="M490">
        <v>-54368</v>
      </c>
      <c r="N490">
        <v>759903</v>
      </c>
      <c r="O490">
        <v>83885</v>
      </c>
      <c r="P490">
        <v>436509</v>
      </c>
      <c r="Q490">
        <v>239509</v>
      </c>
      <c r="S490">
        <v>0</v>
      </c>
      <c r="T490">
        <v>72840</v>
      </c>
      <c r="U490">
        <v>7270</v>
      </c>
      <c r="V490">
        <v>2.4758</v>
      </c>
      <c r="W490">
        <v>2.3969333332999998</v>
      </c>
      <c r="X490">
        <v>7.9860333333</v>
      </c>
      <c r="Z490">
        <v>10420.85</v>
      </c>
      <c r="AB490">
        <v>10426.18</v>
      </c>
      <c r="AD490">
        <v>10420.1</v>
      </c>
      <c r="AF490" t="s">
        <v>182</v>
      </c>
      <c r="AG490" t="s">
        <v>185</v>
      </c>
      <c r="AI490" t="s">
        <v>186</v>
      </c>
      <c r="AJ490" t="s">
        <v>1647</v>
      </c>
      <c r="AK490" t="s">
        <v>188</v>
      </c>
    </row>
    <row r="491" spans="1:37" x14ac:dyDescent="0.3">
      <c r="A491">
        <v>8008</v>
      </c>
      <c r="B491" s="207">
        <v>46121</v>
      </c>
      <c r="C491" t="s">
        <v>438</v>
      </c>
      <c r="D491" t="s">
        <v>1648</v>
      </c>
      <c r="E491" t="s">
        <v>1649</v>
      </c>
      <c r="F491" s="207">
        <v>47057</v>
      </c>
      <c r="G491">
        <v>2.5</v>
      </c>
      <c r="H491">
        <v>3960</v>
      </c>
      <c r="I491">
        <v>3886579</v>
      </c>
      <c r="J491">
        <v>3.3929999999999998</v>
      </c>
      <c r="K491">
        <v>10386</v>
      </c>
      <c r="L491">
        <v>4112855</v>
      </c>
      <c r="M491">
        <v>-19761</v>
      </c>
      <c r="N491">
        <v>246037</v>
      </c>
      <c r="O491">
        <v>28076</v>
      </c>
      <c r="P491">
        <v>141252</v>
      </c>
      <c r="Q491">
        <v>76709</v>
      </c>
      <c r="S491">
        <v>0</v>
      </c>
      <c r="T491">
        <v>23700</v>
      </c>
      <c r="U491">
        <v>2360</v>
      </c>
      <c r="V491">
        <v>2.5607000000000002</v>
      </c>
      <c r="W491">
        <v>2.4784666666000001</v>
      </c>
      <c r="X491">
        <v>8.4631333333000001</v>
      </c>
      <c r="Z491">
        <v>10385.35</v>
      </c>
      <c r="AB491">
        <v>10390.07</v>
      </c>
      <c r="AD491">
        <v>10384.06</v>
      </c>
      <c r="AF491" t="s">
        <v>182</v>
      </c>
      <c r="AG491" t="s">
        <v>185</v>
      </c>
      <c r="AI491" t="s">
        <v>186</v>
      </c>
      <c r="AJ491" t="s">
        <v>1650</v>
      </c>
      <c r="AK491" t="s">
        <v>188</v>
      </c>
    </row>
    <row r="492" spans="1:37" x14ac:dyDescent="0.3">
      <c r="A492">
        <v>8008</v>
      </c>
      <c r="B492" s="207">
        <v>46121</v>
      </c>
      <c r="C492" t="s">
        <v>438</v>
      </c>
      <c r="D492" t="s">
        <v>1651</v>
      </c>
      <c r="E492" t="s">
        <v>1652</v>
      </c>
      <c r="F492" s="207">
        <v>47087</v>
      </c>
      <c r="G492">
        <v>2.5</v>
      </c>
      <c r="H492">
        <v>792</v>
      </c>
      <c r="I492">
        <v>776477</v>
      </c>
      <c r="J492">
        <v>3.4239999999999999</v>
      </c>
      <c r="K492">
        <v>10350</v>
      </c>
      <c r="L492">
        <v>819720</v>
      </c>
      <c r="M492">
        <v>-4256</v>
      </c>
      <c r="N492">
        <v>47499</v>
      </c>
      <c r="O492">
        <v>5604</v>
      </c>
      <c r="P492">
        <v>38884</v>
      </c>
      <c r="Q492">
        <v>3011</v>
      </c>
      <c r="S492">
        <v>0</v>
      </c>
      <c r="T492">
        <v>6200</v>
      </c>
      <c r="U492">
        <v>590</v>
      </c>
      <c r="V492">
        <v>2.6429</v>
      </c>
      <c r="W492">
        <v>2.5570333333000002</v>
      </c>
      <c r="X492">
        <v>8.9396666666000009</v>
      </c>
      <c r="Z492">
        <v>10348.48</v>
      </c>
      <c r="AB492">
        <v>10353.59</v>
      </c>
      <c r="AD492">
        <v>10348.209999999999</v>
      </c>
      <c r="AF492" t="s">
        <v>182</v>
      </c>
      <c r="AG492" t="s">
        <v>185</v>
      </c>
      <c r="AI492" t="s">
        <v>186</v>
      </c>
      <c r="AJ492" t="s">
        <v>1653</v>
      </c>
      <c r="AK492" t="s">
        <v>188</v>
      </c>
    </row>
    <row r="493" spans="1:37" x14ac:dyDescent="0.3">
      <c r="A493">
        <v>8008</v>
      </c>
      <c r="B493" s="207">
        <v>46121</v>
      </c>
      <c r="C493" t="s">
        <v>438</v>
      </c>
      <c r="D493" t="s">
        <v>1654</v>
      </c>
      <c r="E493" t="s">
        <v>1655</v>
      </c>
      <c r="F493" s="207">
        <v>47118</v>
      </c>
      <c r="G493">
        <v>2.5</v>
      </c>
      <c r="H493">
        <v>2769</v>
      </c>
      <c r="I493">
        <v>2711969</v>
      </c>
      <c r="J493">
        <v>3.4550000000000001</v>
      </c>
      <c r="K493">
        <v>10312</v>
      </c>
      <c r="L493">
        <v>2855392</v>
      </c>
      <c r="M493">
        <v>-16505</v>
      </c>
      <c r="N493">
        <v>159928</v>
      </c>
      <c r="O493">
        <v>19551</v>
      </c>
      <c r="P493">
        <v>134579</v>
      </c>
      <c r="Q493">
        <v>5798</v>
      </c>
      <c r="S493">
        <v>0</v>
      </c>
      <c r="T493">
        <v>21570</v>
      </c>
      <c r="U493">
        <v>2150</v>
      </c>
      <c r="V493">
        <v>2.7278666666000002</v>
      </c>
      <c r="W493">
        <v>2.6379999999999999</v>
      </c>
      <c r="X493">
        <v>9.4481333332999995</v>
      </c>
      <c r="Z493">
        <v>10310.89</v>
      </c>
      <c r="AB493">
        <v>10315.32</v>
      </c>
      <c r="AD493">
        <v>10310.620000000001</v>
      </c>
      <c r="AF493" t="s">
        <v>182</v>
      </c>
      <c r="AG493" t="s">
        <v>185</v>
      </c>
      <c r="AI493" t="s">
        <v>186</v>
      </c>
      <c r="AJ493" t="s">
        <v>1656</v>
      </c>
      <c r="AK493" t="s">
        <v>188</v>
      </c>
    </row>
    <row r="494" spans="1:37" x14ac:dyDescent="0.3">
      <c r="A494">
        <v>8008</v>
      </c>
      <c r="B494" s="207">
        <v>46121</v>
      </c>
      <c r="C494" t="s">
        <v>438</v>
      </c>
      <c r="D494" t="s">
        <v>1657</v>
      </c>
      <c r="E494" t="s">
        <v>1658</v>
      </c>
      <c r="F494" s="207">
        <v>47208</v>
      </c>
      <c r="G494">
        <v>2.5</v>
      </c>
      <c r="H494">
        <v>4435</v>
      </c>
      <c r="I494">
        <v>4332471</v>
      </c>
      <c r="J494">
        <v>3.5419999999999998</v>
      </c>
      <c r="K494">
        <v>10201</v>
      </c>
      <c r="L494">
        <v>4524143</v>
      </c>
      <c r="M494">
        <v>-36002</v>
      </c>
      <c r="N494">
        <v>227674</v>
      </c>
      <c r="O494">
        <v>31123</v>
      </c>
      <c r="P494">
        <v>178526</v>
      </c>
      <c r="Q494">
        <v>18025</v>
      </c>
      <c r="S494">
        <v>0</v>
      </c>
      <c r="T494">
        <v>29340</v>
      </c>
      <c r="U494">
        <v>2930</v>
      </c>
      <c r="V494">
        <v>2.9744000000000002</v>
      </c>
      <c r="W494">
        <v>2.8720666665999999</v>
      </c>
      <c r="X494">
        <v>11.0145666666</v>
      </c>
      <c r="Z494">
        <v>10202.31</v>
      </c>
      <c r="AB494">
        <v>10202.379999999999</v>
      </c>
      <c r="AD494">
        <v>10199.969999999999</v>
      </c>
      <c r="AF494" t="s">
        <v>182</v>
      </c>
      <c r="AG494" t="s">
        <v>185</v>
      </c>
      <c r="AI494" t="s">
        <v>186</v>
      </c>
      <c r="AJ494" t="s">
        <v>1659</v>
      </c>
      <c r="AK494" t="s">
        <v>188</v>
      </c>
    </row>
    <row r="495" spans="1:37" x14ac:dyDescent="0.3">
      <c r="A495">
        <v>8008</v>
      </c>
      <c r="B495" s="207">
        <v>46121</v>
      </c>
      <c r="C495" t="s">
        <v>438</v>
      </c>
      <c r="D495" t="s">
        <v>1660</v>
      </c>
      <c r="E495" t="s">
        <v>1661</v>
      </c>
      <c r="F495" s="207">
        <v>47269</v>
      </c>
      <c r="G495">
        <v>2.5</v>
      </c>
      <c r="H495">
        <v>4393</v>
      </c>
      <c r="I495">
        <v>4283977</v>
      </c>
      <c r="J495">
        <v>3.5539999999999998</v>
      </c>
      <c r="K495">
        <v>10138</v>
      </c>
      <c r="L495">
        <v>4453622</v>
      </c>
      <c r="M495">
        <v>-36852</v>
      </c>
      <c r="N495">
        <v>206497</v>
      </c>
      <c r="O495">
        <v>30702</v>
      </c>
      <c r="P495">
        <v>146478</v>
      </c>
      <c r="Q495">
        <v>29317</v>
      </c>
      <c r="S495">
        <v>0</v>
      </c>
      <c r="T495">
        <v>24790</v>
      </c>
      <c r="U495">
        <v>2470</v>
      </c>
      <c r="V495">
        <v>3.1415666666000002</v>
      </c>
      <c r="W495">
        <v>3.0341999999999998</v>
      </c>
      <c r="X495">
        <v>12.098100000000001</v>
      </c>
      <c r="Z495">
        <v>10137.969999999999</v>
      </c>
      <c r="AB495">
        <v>10139.58</v>
      </c>
      <c r="AD495">
        <v>10136.73</v>
      </c>
      <c r="AF495" t="s">
        <v>182</v>
      </c>
      <c r="AG495" t="s">
        <v>185</v>
      </c>
      <c r="AI495" t="s">
        <v>186</v>
      </c>
      <c r="AJ495" t="s">
        <v>1662</v>
      </c>
      <c r="AK495" t="s">
        <v>188</v>
      </c>
    </row>
    <row r="496" spans="1:37" x14ac:dyDescent="0.3">
      <c r="A496">
        <v>8008</v>
      </c>
      <c r="B496" s="207">
        <v>46121</v>
      </c>
      <c r="C496" t="s">
        <v>438</v>
      </c>
      <c r="D496" t="s">
        <v>1663</v>
      </c>
      <c r="E496" t="s">
        <v>1664</v>
      </c>
      <c r="F496" s="207">
        <v>47299</v>
      </c>
      <c r="G496">
        <v>2.5</v>
      </c>
      <c r="H496">
        <v>46</v>
      </c>
      <c r="I496">
        <v>44818</v>
      </c>
      <c r="J496">
        <v>3.5569999999999999</v>
      </c>
      <c r="K496">
        <v>10107</v>
      </c>
      <c r="L496">
        <v>46492</v>
      </c>
      <c r="M496">
        <v>-390</v>
      </c>
      <c r="N496">
        <v>2064</v>
      </c>
      <c r="O496">
        <v>321</v>
      </c>
      <c r="P496">
        <v>1162</v>
      </c>
      <c r="Q496">
        <v>581</v>
      </c>
      <c r="S496">
        <v>0</v>
      </c>
      <c r="T496">
        <v>200</v>
      </c>
      <c r="U496">
        <v>20</v>
      </c>
      <c r="V496">
        <v>3.2237666666</v>
      </c>
      <c r="W496">
        <v>3.1140666665999999</v>
      </c>
      <c r="X496">
        <v>12.649900000000001</v>
      </c>
      <c r="Z496">
        <v>10107.32</v>
      </c>
      <c r="AB496">
        <v>10109.91</v>
      </c>
      <c r="AD496">
        <v>10106.370000000001</v>
      </c>
      <c r="AF496" t="s">
        <v>182</v>
      </c>
      <c r="AG496" t="s">
        <v>185</v>
      </c>
      <c r="AI496" t="s">
        <v>186</v>
      </c>
      <c r="AJ496" t="s">
        <v>1665</v>
      </c>
      <c r="AK496" t="s">
        <v>188</v>
      </c>
    </row>
    <row r="497" spans="1:37" x14ac:dyDescent="0.3">
      <c r="A497">
        <v>8008</v>
      </c>
      <c r="B497" s="207">
        <v>46121</v>
      </c>
      <c r="C497" t="s">
        <v>438</v>
      </c>
      <c r="D497" t="s">
        <v>1666</v>
      </c>
      <c r="E497" t="s">
        <v>1667</v>
      </c>
      <c r="F497" s="207">
        <v>47330</v>
      </c>
      <c r="G497">
        <v>2.5</v>
      </c>
      <c r="H497">
        <v>48596</v>
      </c>
      <c r="I497">
        <v>47306530</v>
      </c>
      <c r="J497">
        <v>3.5590000000000002</v>
      </c>
      <c r="K497">
        <v>10077</v>
      </c>
      <c r="L497">
        <v>48970189</v>
      </c>
      <c r="M497">
        <v>-411126</v>
      </c>
      <c r="N497">
        <v>2074785</v>
      </c>
      <c r="O497">
        <v>338232</v>
      </c>
      <c r="P497">
        <v>526832</v>
      </c>
      <c r="Q497">
        <v>1209721</v>
      </c>
      <c r="S497">
        <v>0</v>
      </c>
      <c r="T497">
        <v>121090</v>
      </c>
      <c r="U497">
        <v>12090</v>
      </c>
      <c r="V497">
        <v>3.3086666666000002</v>
      </c>
      <c r="W497">
        <v>3.1964999999999999</v>
      </c>
      <c r="X497">
        <v>13.2372</v>
      </c>
      <c r="Z497">
        <v>10076.129999999999</v>
      </c>
      <c r="AB497">
        <v>10079.75</v>
      </c>
      <c r="AD497">
        <v>10075.48</v>
      </c>
      <c r="AF497" t="s">
        <v>182</v>
      </c>
      <c r="AG497" t="s">
        <v>185</v>
      </c>
      <c r="AI497" t="s">
        <v>186</v>
      </c>
      <c r="AJ497" t="s">
        <v>1668</v>
      </c>
      <c r="AK497" t="s">
        <v>188</v>
      </c>
    </row>
    <row r="498" spans="1:37" x14ac:dyDescent="0.3">
      <c r="A498">
        <v>8008</v>
      </c>
      <c r="B498" s="207">
        <v>46121</v>
      </c>
      <c r="C498" t="s">
        <v>438</v>
      </c>
      <c r="D498" t="s">
        <v>1669</v>
      </c>
      <c r="E498" t="s">
        <v>1670</v>
      </c>
      <c r="F498" s="207">
        <v>47361</v>
      </c>
      <c r="G498">
        <v>2.5</v>
      </c>
      <c r="H498">
        <v>14583</v>
      </c>
      <c r="I498">
        <v>14182482</v>
      </c>
      <c r="J498">
        <v>3.5609999999999999</v>
      </c>
      <c r="K498">
        <v>10046</v>
      </c>
      <c r="L498">
        <v>14650081</v>
      </c>
      <c r="M498">
        <v>-123160</v>
      </c>
      <c r="N498">
        <v>590759</v>
      </c>
      <c r="O498">
        <v>101286</v>
      </c>
      <c r="P498">
        <v>418001</v>
      </c>
      <c r="Q498">
        <v>71472</v>
      </c>
      <c r="S498">
        <v>0</v>
      </c>
      <c r="T498">
        <v>72690</v>
      </c>
      <c r="U498">
        <v>7260</v>
      </c>
      <c r="V498">
        <v>3.3936000000000002</v>
      </c>
      <c r="W498">
        <v>3.2787333332999999</v>
      </c>
      <c r="X498">
        <v>13.8414</v>
      </c>
      <c r="Z498">
        <v>10045.07</v>
      </c>
      <c r="AB498">
        <v>10049.43</v>
      </c>
      <c r="AD498">
        <v>10044.74</v>
      </c>
      <c r="AF498" t="s">
        <v>182</v>
      </c>
      <c r="AG498" t="s">
        <v>185</v>
      </c>
      <c r="AI498" t="s">
        <v>186</v>
      </c>
      <c r="AJ498" t="s">
        <v>1671</v>
      </c>
      <c r="AK498" t="s">
        <v>188</v>
      </c>
    </row>
    <row r="499" spans="1:37" x14ac:dyDescent="0.3">
      <c r="A499">
        <v>8008</v>
      </c>
      <c r="B499" s="207">
        <v>46121</v>
      </c>
      <c r="C499" t="s">
        <v>438</v>
      </c>
      <c r="D499" t="s">
        <v>1672</v>
      </c>
      <c r="E499" t="s">
        <v>1673</v>
      </c>
      <c r="F499" s="207">
        <v>47391</v>
      </c>
      <c r="G499">
        <v>2.5</v>
      </c>
      <c r="H499">
        <v>59055</v>
      </c>
      <c r="I499">
        <v>57385565</v>
      </c>
      <c r="J499">
        <v>3.5619999999999998</v>
      </c>
      <c r="K499">
        <v>10016</v>
      </c>
      <c r="L499">
        <v>59149487</v>
      </c>
      <c r="M499">
        <v>-503822</v>
      </c>
      <c r="N499">
        <v>2267744</v>
      </c>
      <c r="O499">
        <v>409335</v>
      </c>
      <c r="P499">
        <v>1090308</v>
      </c>
      <c r="Q499">
        <v>768101</v>
      </c>
      <c r="S499">
        <v>0</v>
      </c>
      <c r="T499">
        <v>209930</v>
      </c>
      <c r="U499">
        <v>20980</v>
      </c>
      <c r="V499">
        <v>3.4758</v>
      </c>
      <c r="W499">
        <v>3.3581333333000001</v>
      </c>
      <c r="X499">
        <v>14.4421666666</v>
      </c>
      <c r="Z499">
        <v>10015.120000000001</v>
      </c>
      <c r="AB499">
        <v>10020.58</v>
      </c>
      <c r="AD499">
        <v>10015.120000000001</v>
      </c>
      <c r="AF499" t="s">
        <v>182</v>
      </c>
      <c r="AG499" t="s">
        <v>185</v>
      </c>
      <c r="AI499" t="s">
        <v>186</v>
      </c>
      <c r="AJ499" t="s">
        <v>1674</v>
      </c>
      <c r="AK499" t="s">
        <v>188</v>
      </c>
    </row>
    <row r="500" spans="1:37" x14ac:dyDescent="0.3">
      <c r="A500">
        <v>8008</v>
      </c>
      <c r="B500" s="207">
        <v>46121</v>
      </c>
      <c r="C500" t="s">
        <v>438</v>
      </c>
      <c r="D500" t="s">
        <v>1675</v>
      </c>
      <c r="E500" t="s">
        <v>1676</v>
      </c>
      <c r="F500" s="207">
        <v>47422</v>
      </c>
      <c r="G500">
        <v>2.5</v>
      </c>
      <c r="H500">
        <v>46236</v>
      </c>
      <c r="I500">
        <v>44813479</v>
      </c>
      <c r="J500">
        <v>3.5649999999999999</v>
      </c>
      <c r="K500">
        <v>9986</v>
      </c>
      <c r="L500">
        <v>46171269</v>
      </c>
      <c r="M500">
        <v>-317114</v>
      </c>
      <c r="N500">
        <v>1674904</v>
      </c>
      <c r="O500">
        <v>298713</v>
      </c>
      <c r="P500">
        <v>1162587</v>
      </c>
      <c r="Q500">
        <v>213604</v>
      </c>
      <c r="S500">
        <v>0</v>
      </c>
      <c r="T500">
        <v>204570</v>
      </c>
      <c r="U500">
        <v>20450</v>
      </c>
      <c r="V500">
        <v>3.5607000000000002</v>
      </c>
      <c r="W500">
        <v>3.4400333333000002</v>
      </c>
      <c r="X500">
        <v>15.0791333333</v>
      </c>
      <c r="Z500">
        <v>9983.99</v>
      </c>
      <c r="AB500">
        <v>9990.6</v>
      </c>
      <c r="AD500">
        <v>9984.33</v>
      </c>
      <c r="AF500" t="s">
        <v>182</v>
      </c>
      <c r="AG500" t="s">
        <v>185</v>
      </c>
      <c r="AI500" t="s">
        <v>186</v>
      </c>
      <c r="AJ500" t="s">
        <v>1677</v>
      </c>
      <c r="AK500" t="s">
        <v>188</v>
      </c>
    </row>
    <row r="501" spans="1:37" x14ac:dyDescent="0.3">
      <c r="A501">
        <v>8008</v>
      </c>
      <c r="B501" s="207">
        <v>46121</v>
      </c>
      <c r="C501" t="s">
        <v>438</v>
      </c>
      <c r="D501" t="s">
        <v>1678</v>
      </c>
      <c r="E501" t="s">
        <v>1679</v>
      </c>
      <c r="F501" s="207">
        <v>47452</v>
      </c>
      <c r="G501">
        <v>2.5</v>
      </c>
      <c r="H501">
        <v>156176</v>
      </c>
      <c r="I501">
        <v>151487385</v>
      </c>
      <c r="J501">
        <v>3.5670000000000002</v>
      </c>
      <c r="K501">
        <v>9956</v>
      </c>
      <c r="L501">
        <v>155488825</v>
      </c>
      <c r="M501">
        <v>-1327941</v>
      </c>
      <c r="N501">
        <v>5329381</v>
      </c>
      <c r="O501">
        <v>1078060</v>
      </c>
      <c r="P501">
        <v>2910647</v>
      </c>
      <c r="Q501">
        <v>1340674</v>
      </c>
      <c r="S501">
        <v>0</v>
      </c>
      <c r="T501">
        <v>558400</v>
      </c>
      <c r="U501">
        <v>55830</v>
      </c>
      <c r="V501">
        <v>3.6429</v>
      </c>
      <c r="W501">
        <v>3.5191333333000001</v>
      </c>
      <c r="X501">
        <v>15.711333333300001</v>
      </c>
      <c r="Z501">
        <v>9953.58</v>
      </c>
      <c r="AB501">
        <v>9962.07</v>
      </c>
      <c r="AD501">
        <v>9954.98</v>
      </c>
      <c r="AF501" t="s">
        <v>182</v>
      </c>
      <c r="AG501" t="s">
        <v>185</v>
      </c>
      <c r="AI501" t="s">
        <v>186</v>
      </c>
      <c r="AJ501" t="s">
        <v>1680</v>
      </c>
      <c r="AK501" t="s">
        <v>188</v>
      </c>
    </row>
    <row r="502" spans="1:37" x14ac:dyDescent="0.3">
      <c r="A502">
        <v>8008</v>
      </c>
      <c r="B502" s="207">
        <v>46121</v>
      </c>
      <c r="C502" t="s">
        <v>438</v>
      </c>
      <c r="D502" t="s">
        <v>1681</v>
      </c>
      <c r="E502" t="s">
        <v>1682</v>
      </c>
      <c r="F502" s="207">
        <v>47483</v>
      </c>
      <c r="G502">
        <v>2.5</v>
      </c>
      <c r="H502">
        <v>78086</v>
      </c>
      <c r="I502">
        <v>75675537</v>
      </c>
      <c r="J502">
        <v>3.57</v>
      </c>
      <c r="K502">
        <v>9926</v>
      </c>
      <c r="L502">
        <v>77508163</v>
      </c>
      <c r="M502">
        <v>-662825</v>
      </c>
      <c r="N502">
        <v>2495451</v>
      </c>
      <c r="O502">
        <v>537888</v>
      </c>
      <c r="P502">
        <v>1414400</v>
      </c>
      <c r="Q502">
        <v>543163</v>
      </c>
      <c r="S502">
        <v>0</v>
      </c>
      <c r="T502">
        <v>273310</v>
      </c>
      <c r="U502">
        <v>27320</v>
      </c>
      <c r="V502">
        <v>3.7278666666000002</v>
      </c>
      <c r="W502">
        <v>3.6006666666</v>
      </c>
      <c r="X502">
        <v>16.380533333300001</v>
      </c>
      <c r="Z502">
        <v>9921.9599999999991</v>
      </c>
      <c r="AB502">
        <v>9932.41</v>
      </c>
      <c r="AD502">
        <v>9924.82</v>
      </c>
      <c r="AF502" t="s">
        <v>182</v>
      </c>
      <c r="AG502" t="s">
        <v>185</v>
      </c>
      <c r="AI502" t="s">
        <v>186</v>
      </c>
      <c r="AJ502" t="s">
        <v>1683</v>
      </c>
      <c r="AK502" t="s">
        <v>188</v>
      </c>
    </row>
    <row r="503" spans="1:37" x14ac:dyDescent="0.3">
      <c r="A503">
        <v>8008</v>
      </c>
      <c r="B503" s="207">
        <v>46121</v>
      </c>
      <c r="C503" t="s">
        <v>438</v>
      </c>
      <c r="D503" t="s">
        <v>1684</v>
      </c>
      <c r="E503" t="s">
        <v>1685</v>
      </c>
      <c r="F503" s="207">
        <v>47514</v>
      </c>
      <c r="G503">
        <v>2.5</v>
      </c>
      <c r="H503">
        <v>27457</v>
      </c>
      <c r="I503">
        <v>26577777</v>
      </c>
      <c r="J503">
        <v>3.5739999999999998</v>
      </c>
      <c r="K503">
        <v>9895</v>
      </c>
      <c r="L503">
        <v>27168701</v>
      </c>
      <c r="M503">
        <v>-227178</v>
      </c>
      <c r="N503">
        <v>818102</v>
      </c>
      <c r="O503">
        <v>188739</v>
      </c>
      <c r="P503">
        <v>499391</v>
      </c>
      <c r="Q503">
        <v>129972</v>
      </c>
      <c r="S503">
        <v>0</v>
      </c>
      <c r="T503">
        <v>96320</v>
      </c>
      <c r="U503">
        <v>9620</v>
      </c>
      <c r="V503">
        <v>3.8128000000000002</v>
      </c>
      <c r="W503">
        <v>3.6819999999999999</v>
      </c>
      <c r="X503">
        <v>17.0657</v>
      </c>
      <c r="Z503">
        <v>9889.7000000000007</v>
      </c>
      <c r="AB503">
        <v>9902.9</v>
      </c>
      <c r="AD503">
        <v>9894.7999999999993</v>
      </c>
      <c r="AF503" t="s">
        <v>182</v>
      </c>
      <c r="AG503" t="s">
        <v>185</v>
      </c>
      <c r="AI503" t="s">
        <v>186</v>
      </c>
      <c r="AJ503" t="s">
        <v>1686</v>
      </c>
      <c r="AK503" t="s">
        <v>188</v>
      </c>
    </row>
    <row r="504" spans="1:37" x14ac:dyDescent="0.3">
      <c r="A504">
        <v>8008</v>
      </c>
      <c r="B504" s="207">
        <v>46121</v>
      </c>
      <c r="C504" t="s">
        <v>438</v>
      </c>
      <c r="D504" t="s">
        <v>1687</v>
      </c>
      <c r="E504" t="s">
        <v>1688</v>
      </c>
      <c r="F504" s="207">
        <v>47542</v>
      </c>
      <c r="G504">
        <v>2.5</v>
      </c>
      <c r="H504">
        <v>13127</v>
      </c>
      <c r="I504">
        <v>12691368</v>
      </c>
      <c r="J504">
        <v>3.577</v>
      </c>
      <c r="K504">
        <v>9868</v>
      </c>
      <c r="L504">
        <v>12953722</v>
      </c>
      <c r="M504">
        <v>-103191</v>
      </c>
      <c r="N504">
        <v>365545</v>
      </c>
      <c r="O504">
        <v>90064</v>
      </c>
      <c r="P504">
        <v>245327</v>
      </c>
      <c r="Q504">
        <v>30154</v>
      </c>
      <c r="S504">
        <v>0</v>
      </c>
      <c r="T504">
        <v>46940</v>
      </c>
      <c r="U504">
        <v>4680</v>
      </c>
      <c r="V504">
        <v>3.8895</v>
      </c>
      <c r="W504">
        <v>3.7553666666000001</v>
      </c>
      <c r="X504">
        <v>17.698599999999999</v>
      </c>
      <c r="Z504">
        <v>9861.08</v>
      </c>
      <c r="AB504">
        <v>9876.7199999999993</v>
      </c>
      <c r="AD504">
        <v>9867.75</v>
      </c>
      <c r="AF504" t="s">
        <v>182</v>
      </c>
      <c r="AG504" t="s">
        <v>185</v>
      </c>
      <c r="AI504" t="s">
        <v>186</v>
      </c>
      <c r="AJ504" t="s">
        <v>1689</v>
      </c>
      <c r="AK504" t="s">
        <v>188</v>
      </c>
    </row>
    <row r="505" spans="1:37" x14ac:dyDescent="0.3">
      <c r="A505">
        <v>8008</v>
      </c>
      <c r="B505" s="207">
        <v>46121</v>
      </c>
      <c r="C505" t="s">
        <v>438</v>
      </c>
      <c r="D505" t="s">
        <v>1690</v>
      </c>
      <c r="E505" t="s">
        <v>1691</v>
      </c>
      <c r="F505" s="207">
        <v>47573</v>
      </c>
      <c r="G505">
        <v>2.5</v>
      </c>
      <c r="H505">
        <v>5314</v>
      </c>
      <c r="I505">
        <v>5130948</v>
      </c>
      <c r="J505">
        <v>3.5790000000000002</v>
      </c>
      <c r="K505">
        <v>9838</v>
      </c>
      <c r="L505">
        <v>5227913</v>
      </c>
      <c r="M505">
        <v>-39571</v>
      </c>
      <c r="N505">
        <v>136536</v>
      </c>
      <c r="O505">
        <v>36383</v>
      </c>
      <c r="P505">
        <v>89381</v>
      </c>
      <c r="Q505">
        <v>10772</v>
      </c>
      <c r="S505">
        <v>0</v>
      </c>
      <c r="T505">
        <v>17600</v>
      </c>
      <c r="U505">
        <v>1760</v>
      </c>
      <c r="V505">
        <v>3.9744000000000002</v>
      </c>
      <c r="W505">
        <v>3.8365</v>
      </c>
      <c r="X505">
        <v>18.414633333299999</v>
      </c>
      <c r="Z505">
        <v>9830.84</v>
      </c>
      <c r="AB505">
        <v>9847.52</v>
      </c>
      <c r="AD505">
        <v>9837.6299999999992</v>
      </c>
      <c r="AF505" t="s">
        <v>182</v>
      </c>
      <c r="AG505" t="s">
        <v>185</v>
      </c>
      <c r="AI505" t="s">
        <v>186</v>
      </c>
      <c r="AJ505" t="s">
        <v>1692</v>
      </c>
      <c r="AK505" t="s">
        <v>188</v>
      </c>
    </row>
    <row r="506" spans="1:37" x14ac:dyDescent="0.3">
      <c r="A506">
        <v>8008</v>
      </c>
      <c r="B506" s="207">
        <v>46121</v>
      </c>
      <c r="C506" t="s">
        <v>438</v>
      </c>
      <c r="D506" t="s">
        <v>1693</v>
      </c>
      <c r="E506" t="s">
        <v>1694</v>
      </c>
      <c r="F506" s="207">
        <v>47603</v>
      </c>
      <c r="G506">
        <v>2.5</v>
      </c>
      <c r="H506">
        <v>74168</v>
      </c>
      <c r="I506">
        <v>71528999</v>
      </c>
      <c r="J506">
        <v>3.5870000000000002</v>
      </c>
      <c r="K506">
        <v>9807</v>
      </c>
      <c r="L506">
        <v>72736557</v>
      </c>
      <c r="M506">
        <v>-543850</v>
      </c>
      <c r="N506">
        <v>1751408</v>
      </c>
      <c r="O506">
        <v>506766</v>
      </c>
      <c r="P506">
        <v>1105555</v>
      </c>
      <c r="Q506">
        <v>139087</v>
      </c>
      <c r="S506">
        <v>0</v>
      </c>
      <c r="T506">
        <v>225710</v>
      </c>
      <c r="U506">
        <v>22560</v>
      </c>
      <c r="V506">
        <v>4.0566000000000004</v>
      </c>
      <c r="W506">
        <v>3.9158333333000002</v>
      </c>
      <c r="X506">
        <v>19.0975</v>
      </c>
      <c r="Z506">
        <v>9798.31</v>
      </c>
      <c r="AB506">
        <v>9816.0499999999993</v>
      </c>
      <c r="AD506">
        <v>9806.75</v>
      </c>
      <c r="AF506" t="s">
        <v>182</v>
      </c>
      <c r="AG506" t="s">
        <v>185</v>
      </c>
      <c r="AI506" t="s">
        <v>186</v>
      </c>
      <c r="AJ506" t="s">
        <v>1695</v>
      </c>
      <c r="AK506" t="s">
        <v>188</v>
      </c>
    </row>
    <row r="507" spans="1:37" x14ac:dyDescent="0.3">
      <c r="A507">
        <v>8008</v>
      </c>
      <c r="B507" s="207">
        <v>46121</v>
      </c>
      <c r="C507" t="s">
        <v>438</v>
      </c>
      <c r="D507" t="s">
        <v>1696</v>
      </c>
      <c r="E507" t="s">
        <v>1697</v>
      </c>
      <c r="F507" s="207">
        <v>47634</v>
      </c>
      <c r="G507">
        <v>2.5</v>
      </c>
      <c r="H507">
        <v>15729</v>
      </c>
      <c r="I507">
        <v>15149367</v>
      </c>
      <c r="J507">
        <v>3.597</v>
      </c>
      <c r="K507">
        <v>9773</v>
      </c>
      <c r="L507">
        <v>15371951</v>
      </c>
      <c r="M507">
        <v>-115111</v>
      </c>
      <c r="N507">
        <v>337695</v>
      </c>
      <c r="O507">
        <v>107246</v>
      </c>
      <c r="P507">
        <v>166475</v>
      </c>
      <c r="Q507">
        <v>63974</v>
      </c>
      <c r="S507">
        <v>0</v>
      </c>
      <c r="T507">
        <v>38320</v>
      </c>
      <c r="U507">
        <v>3830</v>
      </c>
      <c r="V507">
        <v>4.1415666666000002</v>
      </c>
      <c r="W507">
        <v>3.9982333333</v>
      </c>
      <c r="X507">
        <v>19.807133333300001</v>
      </c>
      <c r="Z507">
        <v>9764.9</v>
      </c>
      <c r="AB507">
        <v>9781.7800000000007</v>
      </c>
      <c r="AD507">
        <v>9773.89</v>
      </c>
      <c r="AF507" t="s">
        <v>182</v>
      </c>
      <c r="AG507" t="s">
        <v>185</v>
      </c>
      <c r="AI507" t="s">
        <v>186</v>
      </c>
      <c r="AJ507" t="s">
        <v>1698</v>
      </c>
      <c r="AK507" t="s">
        <v>188</v>
      </c>
    </row>
    <row r="508" spans="1:37" x14ac:dyDescent="0.3">
      <c r="A508">
        <v>8008</v>
      </c>
      <c r="B508" s="207">
        <v>46121</v>
      </c>
      <c r="C508" t="s">
        <v>438</v>
      </c>
      <c r="D508" t="s">
        <v>1699</v>
      </c>
      <c r="E508" t="s">
        <v>1700</v>
      </c>
      <c r="F508" s="207">
        <v>47664</v>
      </c>
      <c r="G508">
        <v>2.5</v>
      </c>
      <c r="H508">
        <v>133296</v>
      </c>
      <c r="I508">
        <v>128231543</v>
      </c>
      <c r="J508">
        <v>3.6059999999999999</v>
      </c>
      <c r="K508">
        <v>9741</v>
      </c>
      <c r="L508">
        <v>129843632</v>
      </c>
      <c r="M508">
        <v>-973668</v>
      </c>
      <c r="N508">
        <v>2585757</v>
      </c>
      <c r="O508">
        <v>907020</v>
      </c>
      <c r="P508">
        <v>1444889</v>
      </c>
      <c r="Q508">
        <v>233848</v>
      </c>
      <c r="S508">
        <v>0</v>
      </c>
      <c r="T508">
        <v>329220</v>
      </c>
      <c r="U508">
        <v>32880</v>
      </c>
      <c r="V508">
        <v>4.2237666666000004</v>
      </c>
      <c r="W508">
        <v>4.0778666666000003</v>
      </c>
      <c r="X508">
        <v>20.509933333300001</v>
      </c>
      <c r="Z508">
        <v>9732.91</v>
      </c>
      <c r="AB508">
        <v>9748.8799999999992</v>
      </c>
      <c r="AD508">
        <v>9742.0499999999993</v>
      </c>
      <c r="AF508" t="s">
        <v>182</v>
      </c>
      <c r="AG508" t="s">
        <v>185</v>
      </c>
      <c r="AI508" t="s">
        <v>186</v>
      </c>
      <c r="AJ508" t="s">
        <v>1701</v>
      </c>
      <c r="AK508" t="s">
        <v>188</v>
      </c>
    </row>
    <row r="509" spans="1:37" x14ac:dyDescent="0.3">
      <c r="A509">
        <v>8008</v>
      </c>
      <c r="B509" s="207">
        <v>46121</v>
      </c>
      <c r="C509" t="s">
        <v>438</v>
      </c>
      <c r="D509" t="s">
        <v>1702</v>
      </c>
      <c r="E509" t="s">
        <v>1703</v>
      </c>
      <c r="F509" s="207">
        <v>47695</v>
      </c>
      <c r="G509">
        <v>2.5</v>
      </c>
      <c r="H509">
        <v>121881</v>
      </c>
      <c r="I509">
        <v>117106590</v>
      </c>
      <c r="J509">
        <v>3.6160000000000001</v>
      </c>
      <c r="K509">
        <v>9707</v>
      </c>
      <c r="L509">
        <v>118309885</v>
      </c>
      <c r="M509">
        <v>-900735</v>
      </c>
      <c r="N509">
        <v>2104030</v>
      </c>
      <c r="O509">
        <v>827608</v>
      </c>
      <c r="P509">
        <v>1026472</v>
      </c>
      <c r="Q509">
        <v>249950</v>
      </c>
      <c r="S509">
        <v>0</v>
      </c>
      <c r="T509">
        <v>259530</v>
      </c>
      <c r="U509">
        <v>25920</v>
      </c>
      <c r="V509">
        <v>4.3086666665999998</v>
      </c>
      <c r="W509">
        <v>4.1598666666000002</v>
      </c>
      <c r="X509">
        <v>21.252233333300001</v>
      </c>
      <c r="Z509">
        <v>9699.2199999999993</v>
      </c>
      <c r="AB509">
        <v>9715.0499999999993</v>
      </c>
      <c r="AD509">
        <v>9708.91</v>
      </c>
      <c r="AF509" t="s">
        <v>182</v>
      </c>
      <c r="AG509" t="s">
        <v>185</v>
      </c>
      <c r="AI509" t="s">
        <v>186</v>
      </c>
      <c r="AJ509" t="s">
        <v>1704</v>
      </c>
      <c r="AK509" t="s">
        <v>188</v>
      </c>
    </row>
    <row r="510" spans="1:37" x14ac:dyDescent="0.3">
      <c r="A510">
        <v>8008</v>
      </c>
      <c r="B510" s="207">
        <v>46121</v>
      </c>
      <c r="C510" t="s">
        <v>438</v>
      </c>
      <c r="D510" t="s">
        <v>1705</v>
      </c>
      <c r="E510" t="s">
        <v>1706</v>
      </c>
      <c r="F510" s="207">
        <v>47726</v>
      </c>
      <c r="G510">
        <v>2</v>
      </c>
      <c r="H510">
        <v>73854</v>
      </c>
      <c r="I510">
        <v>69260612</v>
      </c>
      <c r="J510">
        <v>3.6240000000000001</v>
      </c>
      <c r="K510">
        <v>9440</v>
      </c>
      <c r="L510">
        <v>69718176</v>
      </c>
      <c r="M510">
        <v>-437336</v>
      </c>
      <c r="N510">
        <v>894900</v>
      </c>
      <c r="O510">
        <v>400409</v>
      </c>
      <c r="P510">
        <v>370420</v>
      </c>
      <c r="Q510">
        <v>124071</v>
      </c>
      <c r="S510">
        <v>0</v>
      </c>
      <c r="T510">
        <v>107900</v>
      </c>
      <c r="U510">
        <v>10780</v>
      </c>
      <c r="V510">
        <v>4.3936000000000002</v>
      </c>
      <c r="W510">
        <v>4.2417666666000002</v>
      </c>
      <c r="X510">
        <v>22.011633333300001</v>
      </c>
      <c r="Z510">
        <v>9433.5</v>
      </c>
      <c r="AB510">
        <v>9447.02</v>
      </c>
      <c r="AD510">
        <v>9441.91</v>
      </c>
      <c r="AF510" t="s">
        <v>182</v>
      </c>
      <c r="AG510" t="s">
        <v>185</v>
      </c>
      <c r="AI510" t="s">
        <v>186</v>
      </c>
      <c r="AJ510" t="s">
        <v>1707</v>
      </c>
      <c r="AK510" t="s">
        <v>188</v>
      </c>
    </row>
    <row r="511" spans="1:37" x14ac:dyDescent="0.3">
      <c r="A511">
        <v>8008</v>
      </c>
      <c r="B511" s="207">
        <v>46121</v>
      </c>
      <c r="C511" t="s">
        <v>438</v>
      </c>
      <c r="D511" t="s">
        <v>1708</v>
      </c>
      <c r="E511" t="s">
        <v>1709</v>
      </c>
      <c r="F511" s="207">
        <v>47787</v>
      </c>
      <c r="G511">
        <v>2</v>
      </c>
      <c r="H511">
        <v>6372</v>
      </c>
      <c r="I511">
        <v>5895109</v>
      </c>
      <c r="J511">
        <v>3.6419999999999999</v>
      </c>
      <c r="K511">
        <v>9377</v>
      </c>
      <c r="L511">
        <v>5975024</v>
      </c>
      <c r="M511">
        <v>24013</v>
      </c>
      <c r="N511">
        <v>55902</v>
      </c>
      <c r="O511">
        <v>32698</v>
      </c>
      <c r="P511">
        <v>0</v>
      </c>
      <c r="Q511">
        <v>23204</v>
      </c>
      <c r="S511">
        <v>0</v>
      </c>
      <c r="T511">
        <v>4570</v>
      </c>
      <c r="U511">
        <v>450</v>
      </c>
      <c r="V511">
        <v>4.5606999999999998</v>
      </c>
      <c r="W511">
        <v>4.4024333333000003</v>
      </c>
      <c r="X511">
        <v>23.5527666666</v>
      </c>
      <c r="Z511">
        <v>9371.44</v>
      </c>
      <c r="AB511">
        <v>9381.6299999999992</v>
      </c>
      <c r="AD511">
        <v>9379.2900000000009</v>
      </c>
      <c r="AF511" t="s">
        <v>182</v>
      </c>
      <c r="AG511" t="s">
        <v>185</v>
      </c>
      <c r="AI511" t="s">
        <v>186</v>
      </c>
      <c r="AJ511" t="s">
        <v>1710</v>
      </c>
      <c r="AK511" t="s">
        <v>188</v>
      </c>
    </row>
    <row r="512" spans="1:37" x14ac:dyDescent="0.3">
      <c r="A512">
        <v>8008</v>
      </c>
      <c r="B512" s="207">
        <v>46121</v>
      </c>
      <c r="C512" t="s">
        <v>438</v>
      </c>
      <c r="D512" t="s">
        <v>1711</v>
      </c>
      <c r="E512" t="s">
        <v>1712</v>
      </c>
      <c r="F512" s="207">
        <v>47817</v>
      </c>
      <c r="G512">
        <v>2</v>
      </c>
      <c r="H512">
        <v>35319</v>
      </c>
      <c r="I512">
        <v>32945219</v>
      </c>
      <c r="J512">
        <v>3.6509999999999998</v>
      </c>
      <c r="K512">
        <v>9345</v>
      </c>
      <c r="L512">
        <v>33005605</v>
      </c>
      <c r="M512">
        <v>-191528</v>
      </c>
      <c r="N512">
        <v>251914</v>
      </c>
      <c r="O512">
        <v>189627</v>
      </c>
      <c r="P512">
        <v>4171</v>
      </c>
      <c r="Q512">
        <v>58116</v>
      </c>
      <c r="S512">
        <v>0</v>
      </c>
      <c r="T512">
        <v>27110</v>
      </c>
      <c r="U512">
        <v>2700</v>
      </c>
      <c r="V512">
        <v>4.6429</v>
      </c>
      <c r="W512">
        <v>4.4810999999999996</v>
      </c>
      <c r="X512">
        <v>24.332899999999999</v>
      </c>
      <c r="Z512">
        <v>9339.73</v>
      </c>
      <c r="AB512">
        <v>9349.64</v>
      </c>
      <c r="AD512">
        <v>9348.5400000000009</v>
      </c>
      <c r="AF512" t="s">
        <v>182</v>
      </c>
      <c r="AG512" t="s">
        <v>185</v>
      </c>
      <c r="AI512" t="s">
        <v>186</v>
      </c>
      <c r="AJ512" t="s">
        <v>1713</v>
      </c>
      <c r="AK512" t="s">
        <v>188</v>
      </c>
    </row>
    <row r="513" spans="1:37" x14ac:dyDescent="0.3">
      <c r="A513">
        <v>8008</v>
      </c>
      <c r="B513" s="207">
        <v>46121</v>
      </c>
      <c r="C513" t="s">
        <v>438</v>
      </c>
      <c r="D513" t="s">
        <v>1714</v>
      </c>
      <c r="E513" t="s">
        <v>1715</v>
      </c>
      <c r="F513" s="207">
        <v>47848</v>
      </c>
      <c r="G513">
        <v>2</v>
      </c>
      <c r="H513">
        <v>375</v>
      </c>
      <c r="I513">
        <v>346155</v>
      </c>
      <c r="J513">
        <v>3.661</v>
      </c>
      <c r="K513">
        <v>9313</v>
      </c>
      <c r="L513">
        <v>349237</v>
      </c>
      <c r="M513">
        <v>1042</v>
      </c>
      <c r="N513">
        <v>2040</v>
      </c>
      <c r="O513">
        <v>1440</v>
      </c>
      <c r="P513">
        <v>0</v>
      </c>
      <c r="Q513">
        <v>600</v>
      </c>
      <c r="S513">
        <v>0</v>
      </c>
      <c r="T513">
        <v>200</v>
      </c>
      <c r="U513">
        <v>20</v>
      </c>
      <c r="V513">
        <v>4.7278666665999998</v>
      </c>
      <c r="W513">
        <v>4.5622333333</v>
      </c>
      <c r="X513">
        <v>25.154666666600001</v>
      </c>
      <c r="Z513">
        <v>9307.58</v>
      </c>
      <c r="AB513">
        <v>9316.77</v>
      </c>
      <c r="AD513">
        <v>9316.51</v>
      </c>
      <c r="AF513" t="s">
        <v>182</v>
      </c>
      <c r="AG513" t="s">
        <v>185</v>
      </c>
      <c r="AI513" t="s">
        <v>186</v>
      </c>
      <c r="AJ513" t="s">
        <v>1716</v>
      </c>
      <c r="AK513" t="s">
        <v>188</v>
      </c>
    </row>
    <row r="514" spans="1:37" x14ac:dyDescent="0.3">
      <c r="A514">
        <v>8008</v>
      </c>
      <c r="B514" s="207">
        <v>46121</v>
      </c>
      <c r="C514" t="s">
        <v>438</v>
      </c>
      <c r="D514" t="s">
        <v>1717</v>
      </c>
      <c r="E514" t="s">
        <v>1718</v>
      </c>
      <c r="F514" s="207">
        <v>47879</v>
      </c>
      <c r="G514">
        <v>2</v>
      </c>
      <c r="H514">
        <v>7156</v>
      </c>
      <c r="I514">
        <v>6626143</v>
      </c>
      <c r="J514">
        <v>3.6709999999999998</v>
      </c>
      <c r="K514">
        <v>9281</v>
      </c>
      <c r="L514">
        <v>6641483</v>
      </c>
      <c r="M514">
        <v>-11498</v>
      </c>
      <c r="N514">
        <v>26838</v>
      </c>
      <c r="O514">
        <v>16527</v>
      </c>
      <c r="P514">
        <v>0</v>
      </c>
      <c r="Q514">
        <v>10311</v>
      </c>
      <c r="S514">
        <v>0</v>
      </c>
      <c r="T514">
        <v>2310</v>
      </c>
      <c r="U514">
        <v>230</v>
      </c>
      <c r="V514">
        <v>4.8128000000000002</v>
      </c>
      <c r="W514">
        <v>4.6432000000000002</v>
      </c>
      <c r="X514">
        <v>25.9916666666</v>
      </c>
      <c r="Z514">
        <v>9274.6299999999992</v>
      </c>
      <c r="AB514">
        <v>9283.5</v>
      </c>
      <c r="AD514">
        <v>9284.98</v>
      </c>
      <c r="AF514" t="s">
        <v>182</v>
      </c>
      <c r="AG514" t="s">
        <v>185</v>
      </c>
      <c r="AI514" t="s">
        <v>186</v>
      </c>
      <c r="AJ514" t="s">
        <v>1719</v>
      </c>
      <c r="AK514" t="s">
        <v>188</v>
      </c>
    </row>
    <row r="515" spans="1:37" x14ac:dyDescent="0.3">
      <c r="A515">
        <v>8008</v>
      </c>
      <c r="B515" s="207">
        <v>46121</v>
      </c>
      <c r="C515" t="s">
        <v>438</v>
      </c>
      <c r="D515" t="s">
        <v>1720</v>
      </c>
      <c r="E515" t="s">
        <v>1721</v>
      </c>
      <c r="F515" s="207">
        <v>47907</v>
      </c>
      <c r="G515">
        <v>2</v>
      </c>
      <c r="H515">
        <v>6866</v>
      </c>
      <c r="I515">
        <v>6221491</v>
      </c>
      <c r="J515">
        <v>3.681</v>
      </c>
      <c r="K515">
        <v>9251</v>
      </c>
      <c r="L515">
        <v>6351736</v>
      </c>
      <c r="M515">
        <v>114956</v>
      </c>
      <c r="N515">
        <v>15289</v>
      </c>
      <c r="O515">
        <v>3921</v>
      </c>
      <c r="P515">
        <v>0</v>
      </c>
      <c r="Q515">
        <v>11368</v>
      </c>
      <c r="S515">
        <v>0</v>
      </c>
      <c r="T515">
        <v>540</v>
      </c>
      <c r="U515">
        <v>50</v>
      </c>
      <c r="V515">
        <v>4.8895</v>
      </c>
      <c r="W515">
        <v>4.7161333333000002</v>
      </c>
      <c r="X515">
        <v>26.7605333333</v>
      </c>
      <c r="Z515">
        <v>9244</v>
      </c>
      <c r="AB515">
        <v>9253.84</v>
      </c>
      <c r="AD515">
        <v>9256.2199999999993</v>
      </c>
      <c r="AF515" t="s">
        <v>182</v>
      </c>
      <c r="AG515" t="s">
        <v>185</v>
      </c>
      <c r="AI515" t="s">
        <v>186</v>
      </c>
      <c r="AJ515" t="s">
        <v>1722</v>
      </c>
      <c r="AK515" t="s">
        <v>188</v>
      </c>
    </row>
    <row r="516" spans="1:37" x14ac:dyDescent="0.3">
      <c r="A516">
        <v>8008</v>
      </c>
      <c r="B516" s="207">
        <v>46121</v>
      </c>
      <c r="C516" t="s">
        <v>438</v>
      </c>
      <c r="D516" t="s">
        <v>3377</v>
      </c>
      <c r="E516" t="s">
        <v>3378</v>
      </c>
      <c r="F516" s="207">
        <v>47938</v>
      </c>
      <c r="G516">
        <v>2</v>
      </c>
      <c r="H516">
        <v>3760</v>
      </c>
      <c r="I516">
        <v>3448390</v>
      </c>
      <c r="J516">
        <v>3.6920000000000002</v>
      </c>
      <c r="K516">
        <v>9218</v>
      </c>
      <c r="L516">
        <v>3465968</v>
      </c>
      <c r="M516">
        <v>15538</v>
      </c>
      <c r="N516">
        <v>2040</v>
      </c>
      <c r="O516">
        <v>290</v>
      </c>
      <c r="P516">
        <v>0</v>
      </c>
      <c r="Q516">
        <v>1750</v>
      </c>
      <c r="S516">
        <v>0</v>
      </c>
      <c r="T516">
        <v>40</v>
      </c>
      <c r="U516">
        <v>0</v>
      </c>
      <c r="V516">
        <v>4.9744000000000002</v>
      </c>
      <c r="W516">
        <v>4.7967333332999997</v>
      </c>
      <c r="X516">
        <v>27.626300000000001</v>
      </c>
      <c r="Z516">
        <v>9210.68</v>
      </c>
      <c r="AB516">
        <v>9220.19</v>
      </c>
      <c r="AD516">
        <v>9224.82</v>
      </c>
      <c r="AF516" t="s">
        <v>182</v>
      </c>
      <c r="AG516" t="s">
        <v>185</v>
      </c>
      <c r="AI516" t="s">
        <v>186</v>
      </c>
      <c r="AJ516" t="s">
        <v>3379</v>
      </c>
      <c r="AK516" t="s">
        <v>188</v>
      </c>
    </row>
    <row r="517" spans="1:37" x14ac:dyDescent="0.3">
      <c r="A517">
        <v>8008</v>
      </c>
      <c r="B517" s="207">
        <v>46121</v>
      </c>
      <c r="C517" t="s">
        <v>438</v>
      </c>
      <c r="D517" t="s">
        <v>1723</v>
      </c>
      <c r="E517" t="s">
        <v>1724</v>
      </c>
      <c r="F517" s="207">
        <v>47968</v>
      </c>
      <c r="G517">
        <v>2</v>
      </c>
      <c r="H517">
        <v>78147</v>
      </c>
      <c r="I517">
        <v>71050039</v>
      </c>
      <c r="J517">
        <v>3.7010000000000001</v>
      </c>
      <c r="K517">
        <v>9187</v>
      </c>
      <c r="L517">
        <v>71793648</v>
      </c>
      <c r="M517">
        <v>743609</v>
      </c>
      <c r="N517">
        <v>0</v>
      </c>
      <c r="O517">
        <v>0</v>
      </c>
      <c r="P517">
        <v>0</v>
      </c>
      <c r="Q517">
        <v>0</v>
      </c>
      <c r="S517">
        <v>0</v>
      </c>
      <c r="T517">
        <v>0</v>
      </c>
      <c r="U517">
        <v>0</v>
      </c>
      <c r="V517">
        <v>5.0566000000000004</v>
      </c>
      <c r="W517">
        <v>4.8758666666000003</v>
      </c>
      <c r="X517">
        <v>28.459566666600001</v>
      </c>
      <c r="Z517">
        <v>9177.61</v>
      </c>
      <c r="AB517">
        <v>9189.0300000000007</v>
      </c>
      <c r="AD517">
        <v>9195.08</v>
      </c>
      <c r="AF517" t="s">
        <v>182</v>
      </c>
      <c r="AG517" t="s">
        <v>185</v>
      </c>
      <c r="AI517" t="s">
        <v>186</v>
      </c>
      <c r="AJ517" t="s">
        <v>1725</v>
      </c>
      <c r="AK517" t="s">
        <v>188</v>
      </c>
    </row>
    <row r="518" spans="1:37" x14ac:dyDescent="0.3">
      <c r="A518">
        <v>8008</v>
      </c>
      <c r="B518" s="207">
        <v>46121</v>
      </c>
      <c r="C518" t="s">
        <v>438</v>
      </c>
      <c r="D518" t="s">
        <v>1726</v>
      </c>
      <c r="E518" t="s">
        <v>1727</v>
      </c>
      <c r="F518" s="207">
        <v>46173</v>
      </c>
      <c r="G518">
        <v>1.05</v>
      </c>
      <c r="H518">
        <v>1235</v>
      </c>
      <c r="I518">
        <v>1226972</v>
      </c>
      <c r="J518">
        <v>2.661</v>
      </c>
      <c r="K518">
        <v>10497</v>
      </c>
      <c r="L518">
        <v>1296379</v>
      </c>
      <c r="M518">
        <v>5092</v>
      </c>
      <c r="N518">
        <v>64315</v>
      </c>
      <c r="O518">
        <v>3676</v>
      </c>
      <c r="P518">
        <v>53800</v>
      </c>
      <c r="Q518">
        <v>6839</v>
      </c>
      <c r="S518">
        <v>0</v>
      </c>
      <c r="T518">
        <v>8040</v>
      </c>
      <c r="U518">
        <v>800</v>
      </c>
      <c r="V518">
        <v>0.1406333333</v>
      </c>
      <c r="W518">
        <v>0.13800000000000001</v>
      </c>
      <c r="X518">
        <v>0.1147666666</v>
      </c>
      <c r="Z518">
        <v>10496.69</v>
      </c>
      <c r="AB518">
        <v>10497.5</v>
      </c>
      <c r="AD518">
        <v>10496.83</v>
      </c>
      <c r="AF518" t="s">
        <v>182</v>
      </c>
      <c r="AG518" t="s">
        <v>185</v>
      </c>
      <c r="AI518" t="s">
        <v>186</v>
      </c>
      <c r="AJ518" t="s">
        <v>1728</v>
      </c>
      <c r="AK518" t="s">
        <v>188</v>
      </c>
    </row>
    <row r="519" spans="1:37" x14ac:dyDescent="0.3">
      <c r="A519">
        <v>8008</v>
      </c>
      <c r="B519" s="207">
        <v>46121</v>
      </c>
      <c r="C519" t="s">
        <v>438</v>
      </c>
      <c r="D519" t="s">
        <v>1729</v>
      </c>
      <c r="E519" t="s">
        <v>1730</v>
      </c>
      <c r="F519" s="207">
        <v>46203</v>
      </c>
      <c r="G519">
        <v>1.05</v>
      </c>
      <c r="H519">
        <v>10</v>
      </c>
      <c r="I519">
        <v>9922</v>
      </c>
      <c r="J519">
        <v>2.69</v>
      </c>
      <c r="K519">
        <v>10473</v>
      </c>
      <c r="L519">
        <v>10473</v>
      </c>
      <c r="M519">
        <v>40</v>
      </c>
      <c r="N519">
        <v>511</v>
      </c>
      <c r="O519">
        <v>29</v>
      </c>
      <c r="P519">
        <v>460</v>
      </c>
      <c r="Q519">
        <v>22</v>
      </c>
      <c r="S519">
        <v>0</v>
      </c>
      <c r="T519">
        <v>60</v>
      </c>
      <c r="U519">
        <v>0</v>
      </c>
      <c r="V519">
        <v>0.22283333329999999</v>
      </c>
      <c r="W519">
        <v>0.2185</v>
      </c>
      <c r="X519">
        <v>0.2051</v>
      </c>
      <c r="Z519">
        <v>10473.31</v>
      </c>
      <c r="AB519">
        <v>10474.17</v>
      </c>
      <c r="AD519">
        <v>10473.06</v>
      </c>
      <c r="AF519" t="s">
        <v>182</v>
      </c>
      <c r="AG519" t="s">
        <v>185</v>
      </c>
      <c r="AI519" t="s">
        <v>186</v>
      </c>
      <c r="AJ519" t="s">
        <v>1731</v>
      </c>
      <c r="AK519" t="s">
        <v>188</v>
      </c>
    </row>
    <row r="520" spans="1:37" x14ac:dyDescent="0.3">
      <c r="A520">
        <v>8008</v>
      </c>
      <c r="B520" s="207">
        <v>46121</v>
      </c>
      <c r="C520" t="s">
        <v>438</v>
      </c>
      <c r="D520" t="s">
        <v>1732</v>
      </c>
      <c r="E520" t="s">
        <v>1733</v>
      </c>
      <c r="F520" s="207">
        <v>46265</v>
      </c>
      <c r="G520">
        <v>1.05</v>
      </c>
      <c r="H520">
        <v>68099</v>
      </c>
      <c r="I520">
        <v>67374243</v>
      </c>
      <c r="J520">
        <v>2.7730000000000001</v>
      </c>
      <c r="K520">
        <v>10422</v>
      </c>
      <c r="L520">
        <v>70972777</v>
      </c>
      <c r="M520">
        <v>240485</v>
      </c>
      <c r="N520">
        <v>3358049</v>
      </c>
      <c r="O520">
        <v>202158</v>
      </c>
      <c r="P520">
        <v>3097403</v>
      </c>
      <c r="Q520">
        <v>58488</v>
      </c>
      <c r="S520">
        <v>0</v>
      </c>
      <c r="T520">
        <v>461930</v>
      </c>
      <c r="U520">
        <v>46190</v>
      </c>
      <c r="V520">
        <v>0.39269999999999999</v>
      </c>
      <c r="W520">
        <v>0.38419999999999999</v>
      </c>
      <c r="X520">
        <v>0.44579999999999997</v>
      </c>
      <c r="Z520">
        <v>10421.75</v>
      </c>
      <c r="AB520">
        <v>10423.59</v>
      </c>
      <c r="AD520">
        <v>10423.040000000001</v>
      </c>
      <c r="AF520" t="s">
        <v>182</v>
      </c>
      <c r="AG520" t="s">
        <v>185</v>
      </c>
      <c r="AI520" t="s">
        <v>186</v>
      </c>
      <c r="AJ520" t="s">
        <v>1734</v>
      </c>
      <c r="AK520" t="s">
        <v>188</v>
      </c>
    </row>
    <row r="521" spans="1:37" x14ac:dyDescent="0.3">
      <c r="A521">
        <v>8008</v>
      </c>
      <c r="B521" s="207">
        <v>46121</v>
      </c>
      <c r="C521" t="s">
        <v>438</v>
      </c>
      <c r="D521" t="s">
        <v>1735</v>
      </c>
      <c r="E521" t="s">
        <v>1736</v>
      </c>
      <c r="F521" s="207">
        <v>46295</v>
      </c>
      <c r="G521">
        <v>1.05</v>
      </c>
      <c r="H521">
        <v>4182</v>
      </c>
      <c r="I521">
        <v>4131211</v>
      </c>
      <c r="J521">
        <v>2.81</v>
      </c>
      <c r="K521">
        <v>10397</v>
      </c>
      <c r="L521">
        <v>4348025</v>
      </c>
      <c r="M521">
        <v>14361</v>
      </c>
      <c r="N521">
        <v>202453</v>
      </c>
      <c r="O521">
        <v>12404</v>
      </c>
      <c r="P521">
        <v>186552</v>
      </c>
      <c r="Q521">
        <v>3497</v>
      </c>
      <c r="S521">
        <v>0</v>
      </c>
      <c r="T521">
        <v>27850</v>
      </c>
      <c r="U521">
        <v>2770</v>
      </c>
      <c r="V521">
        <v>0.47489999999999999</v>
      </c>
      <c r="W521">
        <v>0.4641666666</v>
      </c>
      <c r="X521">
        <v>0.58816666660000005</v>
      </c>
      <c r="Z521">
        <v>10396.25</v>
      </c>
      <c r="AB521">
        <v>10398.09</v>
      </c>
      <c r="AD521">
        <v>10398.34</v>
      </c>
      <c r="AF521" t="s">
        <v>182</v>
      </c>
      <c r="AG521" t="s">
        <v>185</v>
      </c>
      <c r="AI521" t="s">
        <v>186</v>
      </c>
      <c r="AJ521" t="s">
        <v>1737</v>
      </c>
      <c r="AK521" t="s">
        <v>188</v>
      </c>
    </row>
    <row r="522" spans="1:37" x14ac:dyDescent="0.3">
      <c r="A522">
        <v>8008</v>
      </c>
      <c r="B522" s="207">
        <v>46121</v>
      </c>
      <c r="C522" t="s">
        <v>438</v>
      </c>
      <c r="D522" t="s">
        <v>1738</v>
      </c>
      <c r="E522" t="s">
        <v>1739</v>
      </c>
      <c r="F522" s="207">
        <v>46783</v>
      </c>
      <c r="G522">
        <v>2.5</v>
      </c>
      <c r="H522">
        <v>3</v>
      </c>
      <c r="I522">
        <v>2796</v>
      </c>
      <c r="J522">
        <v>3.25</v>
      </c>
      <c r="K522">
        <v>10676</v>
      </c>
      <c r="L522">
        <v>3202</v>
      </c>
      <c r="M522">
        <v>161</v>
      </c>
      <c r="N522">
        <v>245</v>
      </c>
      <c r="O522">
        <v>20</v>
      </c>
      <c r="P522">
        <v>0</v>
      </c>
      <c r="Q522">
        <v>225</v>
      </c>
      <c r="S522">
        <v>0</v>
      </c>
      <c r="T522">
        <v>0</v>
      </c>
      <c r="U522">
        <v>0</v>
      </c>
      <c r="V522">
        <v>1.8119000000000001</v>
      </c>
      <c r="W522">
        <v>1.7564333333</v>
      </c>
      <c r="X522">
        <v>4.7390333333000001</v>
      </c>
      <c r="Z522">
        <v>10673.66</v>
      </c>
      <c r="AB522">
        <v>10680.12</v>
      </c>
      <c r="AD522">
        <v>10675.72</v>
      </c>
      <c r="AF522" t="s">
        <v>182</v>
      </c>
      <c r="AG522" t="s">
        <v>185</v>
      </c>
      <c r="AI522" t="s">
        <v>186</v>
      </c>
      <c r="AJ522" t="s">
        <v>1740</v>
      </c>
      <c r="AK522" t="s">
        <v>188</v>
      </c>
    </row>
    <row r="523" spans="1:37" x14ac:dyDescent="0.3">
      <c r="A523">
        <v>8008</v>
      </c>
      <c r="B523" s="207">
        <v>46121</v>
      </c>
      <c r="C523" t="s">
        <v>438</v>
      </c>
      <c r="D523" t="s">
        <v>1741</v>
      </c>
      <c r="E523" t="s">
        <v>1742</v>
      </c>
      <c r="F523" s="207">
        <v>47118</v>
      </c>
      <c r="G523">
        <v>2.5</v>
      </c>
      <c r="H523">
        <v>2</v>
      </c>
      <c r="I523">
        <v>1959</v>
      </c>
      <c r="J523">
        <v>3.4550000000000001</v>
      </c>
      <c r="K523">
        <v>10312</v>
      </c>
      <c r="L523">
        <v>2062</v>
      </c>
      <c r="M523">
        <v>-12</v>
      </c>
      <c r="N523">
        <v>115</v>
      </c>
      <c r="O523">
        <v>29</v>
      </c>
      <c r="P523">
        <v>0</v>
      </c>
      <c r="Q523">
        <v>86</v>
      </c>
      <c r="S523">
        <v>0</v>
      </c>
      <c r="T523">
        <v>0</v>
      </c>
      <c r="U523">
        <v>0</v>
      </c>
      <c r="V523">
        <v>2.7278666666000002</v>
      </c>
      <c r="W523">
        <v>2.6379999999999999</v>
      </c>
      <c r="X523">
        <v>9.4481333332999995</v>
      </c>
      <c r="Z523">
        <v>10310.89</v>
      </c>
      <c r="AB523">
        <v>10315.32</v>
      </c>
      <c r="AD523">
        <v>10310.620000000001</v>
      </c>
      <c r="AF523" t="s">
        <v>182</v>
      </c>
      <c r="AG523" t="s">
        <v>185</v>
      </c>
      <c r="AI523" t="s">
        <v>186</v>
      </c>
      <c r="AJ523" t="s">
        <v>1743</v>
      </c>
      <c r="AK523" t="s">
        <v>188</v>
      </c>
    </row>
    <row r="524" spans="1:37" x14ac:dyDescent="0.3">
      <c r="A524">
        <v>8008</v>
      </c>
      <c r="B524" s="207">
        <v>46121</v>
      </c>
      <c r="C524" t="s">
        <v>438</v>
      </c>
      <c r="D524" t="s">
        <v>1744</v>
      </c>
      <c r="E524" t="s">
        <v>1745</v>
      </c>
      <c r="F524" s="207">
        <v>47542</v>
      </c>
      <c r="G524">
        <v>2.5</v>
      </c>
      <c r="H524">
        <v>1261</v>
      </c>
      <c r="I524">
        <v>1219153</v>
      </c>
      <c r="J524">
        <v>3.577</v>
      </c>
      <c r="K524">
        <v>9868</v>
      </c>
      <c r="L524">
        <v>1244353</v>
      </c>
      <c r="M524">
        <v>-9913</v>
      </c>
      <c r="N524">
        <v>35113</v>
      </c>
      <c r="O524">
        <v>8652</v>
      </c>
      <c r="P524">
        <v>23251</v>
      </c>
      <c r="Q524">
        <v>3210</v>
      </c>
      <c r="S524">
        <v>0</v>
      </c>
      <c r="T524">
        <v>4450</v>
      </c>
      <c r="U524">
        <v>410</v>
      </c>
      <c r="V524">
        <v>3.8895</v>
      </c>
      <c r="W524">
        <v>3.7553666666000001</v>
      </c>
      <c r="X524">
        <v>17.698599999999999</v>
      </c>
      <c r="Z524">
        <v>9861.08</v>
      </c>
      <c r="AB524">
        <v>9876.7199999999993</v>
      </c>
      <c r="AD524">
        <v>9867.75</v>
      </c>
      <c r="AF524" t="s">
        <v>182</v>
      </c>
      <c r="AG524" t="s">
        <v>185</v>
      </c>
      <c r="AI524" t="s">
        <v>186</v>
      </c>
      <c r="AJ524" t="s">
        <v>1746</v>
      </c>
      <c r="AK524" t="s">
        <v>188</v>
      </c>
    </row>
    <row r="525" spans="1:37" x14ac:dyDescent="0.3">
      <c r="A525">
        <v>8008</v>
      </c>
      <c r="B525" s="207">
        <v>46121</v>
      </c>
      <c r="C525" t="s">
        <v>438</v>
      </c>
      <c r="D525" t="s">
        <v>1747</v>
      </c>
      <c r="E525" t="s">
        <v>1748</v>
      </c>
      <c r="F525" s="207">
        <v>46387</v>
      </c>
      <c r="G525">
        <v>1.05</v>
      </c>
      <c r="H525">
        <v>9627</v>
      </c>
      <c r="I525">
        <v>9468194</v>
      </c>
      <c r="J525">
        <v>2.879</v>
      </c>
      <c r="K525">
        <v>10320</v>
      </c>
      <c r="L525">
        <v>9935064</v>
      </c>
      <c r="M525">
        <v>27357</v>
      </c>
      <c r="N525">
        <v>439513</v>
      </c>
      <c r="O525">
        <v>28480</v>
      </c>
      <c r="P525">
        <v>278846</v>
      </c>
      <c r="Q525">
        <v>132187</v>
      </c>
      <c r="S525">
        <v>0</v>
      </c>
      <c r="T525">
        <v>43020</v>
      </c>
      <c r="U525">
        <v>4290</v>
      </c>
      <c r="V525">
        <v>0.72693333329999998</v>
      </c>
      <c r="W525">
        <v>0.70840000000000003</v>
      </c>
      <c r="X525">
        <v>1.1285666666</v>
      </c>
      <c r="Z525">
        <v>10319.76</v>
      </c>
      <c r="AB525">
        <v>10321.15</v>
      </c>
      <c r="AD525">
        <v>10319.91</v>
      </c>
      <c r="AF525" t="s">
        <v>182</v>
      </c>
      <c r="AG525" t="s">
        <v>185</v>
      </c>
      <c r="AI525" t="s">
        <v>186</v>
      </c>
      <c r="AJ525" t="s">
        <v>1749</v>
      </c>
      <c r="AK525" t="s">
        <v>188</v>
      </c>
    </row>
    <row r="526" spans="1:37" x14ac:dyDescent="0.3">
      <c r="A526">
        <v>8008</v>
      </c>
      <c r="B526" s="207">
        <v>46121</v>
      </c>
      <c r="C526" t="s">
        <v>438</v>
      </c>
      <c r="D526" t="s">
        <v>1750</v>
      </c>
      <c r="E526" t="s">
        <v>1751</v>
      </c>
      <c r="F526" s="207">
        <v>46446</v>
      </c>
      <c r="G526">
        <v>1.05</v>
      </c>
      <c r="H526">
        <v>459</v>
      </c>
      <c r="I526">
        <v>449940</v>
      </c>
      <c r="J526">
        <v>2.9510000000000001</v>
      </c>
      <c r="K526">
        <v>10267</v>
      </c>
      <c r="L526">
        <v>471255</v>
      </c>
      <c r="M526">
        <v>1170</v>
      </c>
      <c r="N526">
        <v>20145</v>
      </c>
      <c r="O526">
        <v>1355</v>
      </c>
      <c r="P526">
        <v>18382</v>
      </c>
      <c r="Q526">
        <v>408</v>
      </c>
      <c r="S526">
        <v>0</v>
      </c>
      <c r="T526">
        <v>2760</v>
      </c>
      <c r="U526">
        <v>270</v>
      </c>
      <c r="V526">
        <v>0.88859999999999995</v>
      </c>
      <c r="W526">
        <v>0.86403333329999998</v>
      </c>
      <c r="X526">
        <v>1.5551999999999999</v>
      </c>
      <c r="Z526">
        <v>10266.959999999999</v>
      </c>
      <c r="AB526">
        <v>10267.450000000001</v>
      </c>
      <c r="AD526">
        <v>10266.780000000001</v>
      </c>
      <c r="AF526" t="s">
        <v>182</v>
      </c>
      <c r="AG526" t="s">
        <v>185</v>
      </c>
      <c r="AI526" t="s">
        <v>186</v>
      </c>
      <c r="AJ526" t="s">
        <v>1752</v>
      </c>
      <c r="AK526" t="s">
        <v>188</v>
      </c>
    </row>
    <row r="527" spans="1:37" x14ac:dyDescent="0.3">
      <c r="A527">
        <v>8008</v>
      </c>
      <c r="B527" s="207">
        <v>46121</v>
      </c>
      <c r="C527" t="s">
        <v>438</v>
      </c>
      <c r="D527" t="s">
        <v>1753</v>
      </c>
      <c r="E527" t="s">
        <v>1754</v>
      </c>
      <c r="F527" s="207">
        <v>46477</v>
      </c>
      <c r="G527">
        <v>1.05</v>
      </c>
      <c r="H527">
        <v>90047</v>
      </c>
      <c r="I527">
        <v>88118741</v>
      </c>
      <c r="J527">
        <v>2.9889999999999999</v>
      </c>
      <c r="K527">
        <v>10238</v>
      </c>
      <c r="L527">
        <v>92190118</v>
      </c>
      <c r="M527">
        <v>202548</v>
      </c>
      <c r="N527">
        <v>3868829</v>
      </c>
      <c r="O527">
        <v>265696</v>
      </c>
      <c r="P527">
        <v>1580366</v>
      </c>
      <c r="Q527">
        <v>2022767</v>
      </c>
      <c r="S527">
        <v>0</v>
      </c>
      <c r="T527">
        <v>258440</v>
      </c>
      <c r="U527">
        <v>25840</v>
      </c>
      <c r="V527">
        <v>0.97350000000000003</v>
      </c>
      <c r="W527">
        <v>0.94550000000000001</v>
      </c>
      <c r="X527">
        <v>1.8039000000000001</v>
      </c>
      <c r="Z527">
        <v>10239.23</v>
      </c>
      <c r="AB527">
        <v>10237.719999999999</v>
      </c>
      <c r="AD527">
        <v>10238.06</v>
      </c>
      <c r="AF527" t="s">
        <v>182</v>
      </c>
      <c r="AG527" t="s">
        <v>185</v>
      </c>
      <c r="AI527" t="s">
        <v>186</v>
      </c>
      <c r="AJ527" t="s">
        <v>1755</v>
      </c>
      <c r="AK527" t="s">
        <v>188</v>
      </c>
    </row>
    <row r="528" spans="1:37" x14ac:dyDescent="0.3">
      <c r="A528">
        <v>8008</v>
      </c>
      <c r="B528" s="207">
        <v>46121</v>
      </c>
      <c r="C528" t="s">
        <v>438</v>
      </c>
      <c r="D528" t="s">
        <v>1756</v>
      </c>
      <c r="E528" t="s">
        <v>1757</v>
      </c>
      <c r="F528" s="207">
        <v>46507</v>
      </c>
      <c r="G528">
        <v>1.05</v>
      </c>
      <c r="H528">
        <v>88565</v>
      </c>
      <c r="I528">
        <v>86517252</v>
      </c>
      <c r="J528">
        <v>3.02</v>
      </c>
      <c r="K528">
        <v>10210</v>
      </c>
      <c r="L528">
        <v>90424865</v>
      </c>
      <c r="M528">
        <v>181725</v>
      </c>
      <c r="N528">
        <v>3725888</v>
      </c>
      <c r="O528">
        <v>261100</v>
      </c>
      <c r="P528">
        <v>2576697</v>
      </c>
      <c r="Q528">
        <v>888091</v>
      </c>
      <c r="S528">
        <v>0</v>
      </c>
      <c r="T528">
        <v>397280</v>
      </c>
      <c r="U528">
        <v>39700</v>
      </c>
      <c r="V528">
        <v>1.0557000000000001</v>
      </c>
      <c r="W528">
        <v>1.0252666666000001</v>
      </c>
      <c r="X528">
        <v>2.0296666665999998</v>
      </c>
      <c r="Z528">
        <v>10210.969999999999</v>
      </c>
      <c r="AB528">
        <v>10209.64</v>
      </c>
      <c r="AD528">
        <v>10210.030000000001</v>
      </c>
      <c r="AF528" t="s">
        <v>182</v>
      </c>
      <c r="AG528" t="s">
        <v>185</v>
      </c>
      <c r="AI528" t="s">
        <v>186</v>
      </c>
      <c r="AJ528" t="s">
        <v>1758</v>
      </c>
      <c r="AK528" t="s">
        <v>188</v>
      </c>
    </row>
    <row r="529" spans="1:37" x14ac:dyDescent="0.3">
      <c r="A529">
        <v>8008</v>
      </c>
      <c r="B529" s="207">
        <v>46121</v>
      </c>
      <c r="C529" t="s">
        <v>438</v>
      </c>
      <c r="D529" t="s">
        <v>1759</v>
      </c>
      <c r="E529" t="s">
        <v>1760</v>
      </c>
      <c r="F529" s="207">
        <v>46538</v>
      </c>
      <c r="G529">
        <v>1.05</v>
      </c>
      <c r="H529">
        <v>40600</v>
      </c>
      <c r="I529">
        <v>39589060</v>
      </c>
      <c r="J529">
        <v>3.0489999999999999</v>
      </c>
      <c r="K529">
        <v>10180</v>
      </c>
      <c r="L529">
        <v>41330800</v>
      </c>
      <c r="M529">
        <v>71234</v>
      </c>
      <c r="N529">
        <v>1670506</v>
      </c>
      <c r="O529">
        <v>119586</v>
      </c>
      <c r="P529">
        <v>732806</v>
      </c>
      <c r="Q529">
        <v>818114</v>
      </c>
      <c r="S529">
        <v>0</v>
      </c>
      <c r="T529">
        <v>119320</v>
      </c>
      <c r="U529">
        <v>11920</v>
      </c>
      <c r="V529">
        <v>1.1406333333000001</v>
      </c>
      <c r="W529">
        <v>1.1080666666000001</v>
      </c>
      <c r="X529">
        <v>2.2645333333000002</v>
      </c>
      <c r="Z529">
        <v>10181.450000000001</v>
      </c>
      <c r="AB529">
        <v>10180.68</v>
      </c>
      <c r="AD529">
        <v>10180.66</v>
      </c>
      <c r="AF529" t="s">
        <v>182</v>
      </c>
      <c r="AG529" t="s">
        <v>185</v>
      </c>
      <c r="AI529" t="s">
        <v>186</v>
      </c>
      <c r="AJ529" t="s">
        <v>1761</v>
      </c>
      <c r="AK529" t="s">
        <v>188</v>
      </c>
    </row>
    <row r="530" spans="1:37" x14ac:dyDescent="0.3">
      <c r="A530">
        <v>8008</v>
      </c>
      <c r="B530" s="207">
        <v>46121</v>
      </c>
      <c r="C530" t="s">
        <v>438</v>
      </c>
      <c r="D530" t="s">
        <v>1762</v>
      </c>
      <c r="E530" t="s">
        <v>1763</v>
      </c>
      <c r="F530" s="207">
        <v>46568</v>
      </c>
      <c r="G530">
        <v>1.05</v>
      </c>
      <c r="H530">
        <v>55753</v>
      </c>
      <c r="I530">
        <v>54263889</v>
      </c>
      <c r="J530">
        <v>3.0779999999999998</v>
      </c>
      <c r="K530">
        <v>10152</v>
      </c>
      <c r="L530">
        <v>56600445</v>
      </c>
      <c r="M530">
        <v>92384</v>
      </c>
      <c r="N530">
        <v>2244172</v>
      </c>
      <c r="O530">
        <v>164080</v>
      </c>
      <c r="P530">
        <v>1901421</v>
      </c>
      <c r="Q530">
        <v>178671</v>
      </c>
      <c r="S530">
        <v>0</v>
      </c>
      <c r="T530">
        <v>289150</v>
      </c>
      <c r="U530">
        <v>28900</v>
      </c>
      <c r="V530">
        <v>1.2228333333000001</v>
      </c>
      <c r="W530">
        <v>1.1880333332999999</v>
      </c>
      <c r="X530">
        <v>2.5088333333000001</v>
      </c>
      <c r="Z530">
        <v>10151.92</v>
      </c>
      <c r="AB530">
        <v>10152.41</v>
      </c>
      <c r="AD530">
        <v>10151.92</v>
      </c>
      <c r="AF530" t="s">
        <v>182</v>
      </c>
      <c r="AG530" t="s">
        <v>185</v>
      </c>
      <c r="AI530" t="s">
        <v>186</v>
      </c>
      <c r="AJ530" t="s">
        <v>1764</v>
      </c>
      <c r="AK530" t="s">
        <v>188</v>
      </c>
    </row>
    <row r="531" spans="1:37" x14ac:dyDescent="0.3">
      <c r="A531">
        <v>8008</v>
      </c>
      <c r="B531" s="207">
        <v>46121</v>
      </c>
      <c r="C531" t="s">
        <v>438</v>
      </c>
      <c r="D531" t="s">
        <v>1765</v>
      </c>
      <c r="E531" t="s">
        <v>1766</v>
      </c>
      <c r="F531" s="207">
        <v>46599</v>
      </c>
      <c r="G531">
        <v>1.05</v>
      </c>
      <c r="H531">
        <v>5</v>
      </c>
      <c r="I531">
        <v>4858</v>
      </c>
      <c r="J531">
        <v>3.1059999999999999</v>
      </c>
      <c r="K531">
        <v>10122</v>
      </c>
      <c r="L531">
        <v>5061</v>
      </c>
      <c r="M531">
        <v>7</v>
      </c>
      <c r="N531">
        <v>196</v>
      </c>
      <c r="O531">
        <v>120</v>
      </c>
      <c r="P531">
        <v>0</v>
      </c>
      <c r="Q531">
        <v>76</v>
      </c>
      <c r="S531">
        <v>0</v>
      </c>
      <c r="T531">
        <v>10</v>
      </c>
      <c r="U531">
        <v>0</v>
      </c>
      <c r="V531">
        <v>1.3077333333000001</v>
      </c>
      <c r="W531">
        <v>1.2705</v>
      </c>
      <c r="X531">
        <v>2.7788333333000002</v>
      </c>
      <c r="Z531">
        <v>10121.36</v>
      </c>
      <c r="AB531">
        <v>10122.91</v>
      </c>
      <c r="AD531">
        <v>10122</v>
      </c>
      <c r="AF531" t="s">
        <v>182</v>
      </c>
      <c r="AG531" t="s">
        <v>185</v>
      </c>
      <c r="AI531" t="s">
        <v>186</v>
      </c>
      <c r="AJ531" t="s">
        <v>1767</v>
      </c>
      <c r="AK531" t="s">
        <v>188</v>
      </c>
    </row>
    <row r="532" spans="1:37" x14ac:dyDescent="0.3">
      <c r="A532">
        <v>8008</v>
      </c>
      <c r="B532" s="207">
        <v>46121</v>
      </c>
      <c r="C532" t="s">
        <v>438</v>
      </c>
      <c r="D532" t="s">
        <v>1768</v>
      </c>
      <c r="E532" t="s">
        <v>1769</v>
      </c>
      <c r="F532" s="207">
        <v>46660</v>
      </c>
      <c r="G532">
        <v>1.05</v>
      </c>
      <c r="H532">
        <v>6</v>
      </c>
      <c r="I532">
        <v>5809</v>
      </c>
      <c r="J532">
        <v>3.16</v>
      </c>
      <c r="K532">
        <v>10062</v>
      </c>
      <c r="L532">
        <v>6037</v>
      </c>
      <c r="M532">
        <v>3</v>
      </c>
      <c r="N532">
        <v>225</v>
      </c>
      <c r="O532">
        <v>144</v>
      </c>
      <c r="P532">
        <v>0</v>
      </c>
      <c r="Q532">
        <v>81</v>
      </c>
      <c r="S532">
        <v>0</v>
      </c>
      <c r="T532">
        <v>20</v>
      </c>
      <c r="U532">
        <v>0</v>
      </c>
      <c r="V532">
        <v>1.4749000000000001</v>
      </c>
      <c r="W532">
        <v>1.4322333332999999</v>
      </c>
      <c r="X532">
        <v>3.3613</v>
      </c>
      <c r="Z532">
        <v>10061.24</v>
      </c>
      <c r="AB532">
        <v>10064.27</v>
      </c>
      <c r="AD532">
        <v>10061.969999999999</v>
      </c>
      <c r="AF532" t="s">
        <v>182</v>
      </c>
      <c r="AG532" t="s">
        <v>185</v>
      </c>
      <c r="AI532" t="s">
        <v>186</v>
      </c>
      <c r="AJ532" t="s">
        <v>1770</v>
      </c>
      <c r="AK532" t="s">
        <v>188</v>
      </c>
    </row>
    <row r="533" spans="1:37" x14ac:dyDescent="0.3">
      <c r="A533">
        <v>8008</v>
      </c>
      <c r="B533" s="207">
        <v>46121</v>
      </c>
      <c r="C533" t="s">
        <v>438</v>
      </c>
      <c r="D533" t="s">
        <v>1771</v>
      </c>
      <c r="E533" t="s">
        <v>1772</v>
      </c>
      <c r="F533" s="207">
        <v>46691</v>
      </c>
      <c r="G533">
        <v>1.05</v>
      </c>
      <c r="H533">
        <v>5695</v>
      </c>
      <c r="I533">
        <v>5503284</v>
      </c>
      <c r="J533">
        <v>3.1850000000000001</v>
      </c>
      <c r="K533">
        <v>10032</v>
      </c>
      <c r="L533">
        <v>5713224</v>
      </c>
      <c r="M533">
        <v>1522</v>
      </c>
      <c r="N533">
        <v>208418</v>
      </c>
      <c r="O533">
        <v>16702</v>
      </c>
      <c r="P533">
        <v>80214</v>
      </c>
      <c r="Q533">
        <v>111502</v>
      </c>
      <c r="S533">
        <v>0</v>
      </c>
      <c r="T533">
        <v>13550</v>
      </c>
      <c r="U533">
        <v>1340</v>
      </c>
      <c r="V533">
        <v>1.5598000000000001</v>
      </c>
      <c r="W533">
        <v>1.5141333333</v>
      </c>
      <c r="X533">
        <v>3.6831666666</v>
      </c>
      <c r="Z533">
        <v>10030.370000000001</v>
      </c>
      <c r="AB533">
        <v>10034.459999999999</v>
      </c>
      <c r="AD533">
        <v>10031.74</v>
      </c>
      <c r="AF533" t="s">
        <v>182</v>
      </c>
      <c r="AG533" t="s">
        <v>185</v>
      </c>
      <c r="AI533" t="s">
        <v>186</v>
      </c>
      <c r="AJ533" t="s">
        <v>1773</v>
      </c>
      <c r="AK533" t="s">
        <v>188</v>
      </c>
    </row>
    <row r="534" spans="1:37" x14ac:dyDescent="0.3">
      <c r="A534">
        <v>8008</v>
      </c>
      <c r="B534" s="207">
        <v>46121</v>
      </c>
      <c r="C534" t="s">
        <v>438</v>
      </c>
      <c r="D534" t="s">
        <v>1774</v>
      </c>
      <c r="E534" t="s">
        <v>1775</v>
      </c>
      <c r="F534" s="207">
        <v>46721</v>
      </c>
      <c r="G534">
        <v>1.05</v>
      </c>
      <c r="H534">
        <v>69776</v>
      </c>
      <c r="I534">
        <v>67307518</v>
      </c>
      <c r="J534">
        <v>3.2069999999999999</v>
      </c>
      <c r="K534">
        <v>10002</v>
      </c>
      <c r="L534">
        <v>69789954</v>
      </c>
      <c r="M534">
        <v>-9077</v>
      </c>
      <c r="N534">
        <v>2491513</v>
      </c>
      <c r="O534">
        <v>204450</v>
      </c>
      <c r="P534">
        <v>423727</v>
      </c>
      <c r="Q534">
        <v>1863336</v>
      </c>
      <c r="S534">
        <v>0</v>
      </c>
      <c r="T534">
        <v>87930</v>
      </c>
      <c r="U534">
        <v>8790</v>
      </c>
      <c r="V534">
        <v>1.6419999999999999</v>
      </c>
      <c r="W534">
        <v>1.5933333332999999</v>
      </c>
      <c r="X534">
        <v>4.0110666665999997</v>
      </c>
      <c r="Z534">
        <v>10000.870000000001</v>
      </c>
      <c r="AB534">
        <v>10005.64</v>
      </c>
      <c r="AD534">
        <v>10002.469999999999</v>
      </c>
      <c r="AF534" t="s">
        <v>182</v>
      </c>
      <c r="AG534" t="s">
        <v>185</v>
      </c>
      <c r="AI534" t="s">
        <v>186</v>
      </c>
      <c r="AJ534" t="s">
        <v>1776</v>
      </c>
      <c r="AK534" t="s">
        <v>188</v>
      </c>
    </row>
    <row r="535" spans="1:37" x14ac:dyDescent="0.3">
      <c r="A535">
        <v>8008</v>
      </c>
      <c r="B535" s="207">
        <v>46121</v>
      </c>
      <c r="C535" t="s">
        <v>438</v>
      </c>
      <c r="D535" t="s">
        <v>1777</v>
      </c>
      <c r="E535" t="s">
        <v>1778</v>
      </c>
      <c r="F535" s="207">
        <v>46752</v>
      </c>
      <c r="G535">
        <v>1.05</v>
      </c>
      <c r="H535">
        <v>1000</v>
      </c>
      <c r="I535">
        <v>919537</v>
      </c>
      <c r="J535">
        <v>3.2290000000000001</v>
      </c>
      <c r="K535">
        <v>9972</v>
      </c>
      <c r="L535">
        <v>997200</v>
      </c>
      <c r="M535">
        <v>42875</v>
      </c>
      <c r="N535">
        <v>34788</v>
      </c>
      <c r="O535">
        <v>325</v>
      </c>
      <c r="P535">
        <v>0</v>
      </c>
      <c r="Q535">
        <v>34463</v>
      </c>
      <c r="S535">
        <v>0</v>
      </c>
      <c r="T535">
        <v>40</v>
      </c>
      <c r="U535">
        <v>0</v>
      </c>
      <c r="V535">
        <v>1.7269333333000001</v>
      </c>
      <c r="W535">
        <v>1.6749333333</v>
      </c>
      <c r="X535">
        <v>4.3666333333000003</v>
      </c>
      <c r="Z535">
        <v>9970.1299999999992</v>
      </c>
      <c r="AB535">
        <v>9975.7800000000007</v>
      </c>
      <c r="AD535">
        <v>9972.1299999999992</v>
      </c>
      <c r="AF535" t="s">
        <v>182</v>
      </c>
      <c r="AG535" t="s">
        <v>185</v>
      </c>
      <c r="AI535" t="s">
        <v>186</v>
      </c>
      <c r="AJ535" t="s">
        <v>1779</v>
      </c>
      <c r="AK535" t="s">
        <v>188</v>
      </c>
    </row>
    <row r="536" spans="1:37" x14ac:dyDescent="0.3">
      <c r="A536">
        <v>8008</v>
      </c>
      <c r="B536" s="207">
        <v>46121</v>
      </c>
      <c r="C536" t="s">
        <v>438</v>
      </c>
      <c r="D536" t="s">
        <v>1780</v>
      </c>
      <c r="E536" t="s">
        <v>1781</v>
      </c>
      <c r="F536" s="207">
        <v>46812</v>
      </c>
      <c r="G536">
        <v>2.5</v>
      </c>
      <c r="H536">
        <v>392</v>
      </c>
      <c r="I536">
        <v>387856</v>
      </c>
      <c r="J536">
        <v>3.2709999999999999</v>
      </c>
      <c r="K536">
        <v>10646</v>
      </c>
      <c r="L536">
        <v>417323</v>
      </c>
      <c r="M536">
        <v>-1846</v>
      </c>
      <c r="N536">
        <v>31313</v>
      </c>
      <c r="O536">
        <v>2826</v>
      </c>
      <c r="P536">
        <v>20014</v>
      </c>
      <c r="Q536">
        <v>8473</v>
      </c>
      <c r="S536">
        <v>0</v>
      </c>
      <c r="T536">
        <v>3190</v>
      </c>
      <c r="U536">
        <v>310</v>
      </c>
      <c r="V536">
        <v>1.8895</v>
      </c>
      <c r="W536">
        <v>1.8297666666000001</v>
      </c>
      <c r="X536">
        <v>5.0894666665999999</v>
      </c>
      <c r="Z536">
        <v>10643</v>
      </c>
      <c r="AB536">
        <v>10650.68</v>
      </c>
      <c r="AD536">
        <v>10645.73</v>
      </c>
      <c r="AF536" t="s">
        <v>182</v>
      </c>
      <c r="AG536" t="s">
        <v>185</v>
      </c>
      <c r="AI536" t="s">
        <v>186</v>
      </c>
      <c r="AJ536" t="s">
        <v>1782</v>
      </c>
      <c r="AK536" t="s">
        <v>188</v>
      </c>
    </row>
    <row r="537" spans="1:37" x14ac:dyDescent="0.3">
      <c r="A537">
        <v>8008</v>
      </c>
      <c r="B537" s="207">
        <v>46121</v>
      </c>
      <c r="C537" t="s">
        <v>438</v>
      </c>
      <c r="D537" t="s">
        <v>1783</v>
      </c>
      <c r="E537" t="s">
        <v>1784</v>
      </c>
      <c r="F537" s="207">
        <v>46843</v>
      </c>
      <c r="G537">
        <v>2.5</v>
      </c>
      <c r="H537">
        <v>9534</v>
      </c>
      <c r="I537">
        <v>9423157</v>
      </c>
      <c r="J537">
        <v>3.29</v>
      </c>
      <c r="K537">
        <v>10613</v>
      </c>
      <c r="L537">
        <v>10118433</v>
      </c>
      <c r="M537">
        <v>-44745</v>
      </c>
      <c r="N537">
        <v>740021</v>
      </c>
      <c r="O537">
        <v>68580</v>
      </c>
      <c r="P537">
        <v>507429</v>
      </c>
      <c r="Q537">
        <v>164012</v>
      </c>
      <c r="S537">
        <v>0</v>
      </c>
      <c r="T537">
        <v>80620</v>
      </c>
      <c r="U537">
        <v>8050</v>
      </c>
      <c r="V537">
        <v>1.9743999999999999</v>
      </c>
      <c r="W537">
        <v>1.9109</v>
      </c>
      <c r="X537">
        <v>5.4935999999999998</v>
      </c>
      <c r="Z537">
        <v>10611.35</v>
      </c>
      <c r="AB537">
        <v>10617.92</v>
      </c>
      <c r="AD537">
        <v>10612.57</v>
      </c>
      <c r="AF537" t="s">
        <v>182</v>
      </c>
      <c r="AG537" t="s">
        <v>185</v>
      </c>
      <c r="AI537" t="s">
        <v>186</v>
      </c>
      <c r="AJ537" t="s">
        <v>1785</v>
      </c>
      <c r="AK537" t="s">
        <v>188</v>
      </c>
    </row>
    <row r="538" spans="1:37" x14ac:dyDescent="0.3">
      <c r="A538">
        <v>8008</v>
      </c>
      <c r="B538" s="207">
        <v>46121</v>
      </c>
      <c r="C538" t="s">
        <v>438</v>
      </c>
      <c r="D538" t="s">
        <v>1786</v>
      </c>
      <c r="E538" t="s">
        <v>1787</v>
      </c>
      <c r="F538" s="207">
        <v>46873</v>
      </c>
      <c r="G538">
        <v>2.5</v>
      </c>
      <c r="H538">
        <v>29507</v>
      </c>
      <c r="I538">
        <v>29136511</v>
      </c>
      <c r="J538">
        <v>3.3050000000000002</v>
      </c>
      <c r="K538">
        <v>10582</v>
      </c>
      <c r="L538">
        <v>31224306</v>
      </c>
      <c r="M538">
        <v>-138052</v>
      </c>
      <c r="N538">
        <v>2225847</v>
      </c>
      <c r="O538">
        <v>211819</v>
      </c>
      <c r="P538">
        <v>1572802</v>
      </c>
      <c r="Q538">
        <v>441226</v>
      </c>
      <c r="S538">
        <v>0</v>
      </c>
      <c r="T538">
        <v>249840</v>
      </c>
      <c r="U538">
        <v>24980</v>
      </c>
      <c r="V538">
        <v>2.0566</v>
      </c>
      <c r="W538">
        <v>1.9904999999999999</v>
      </c>
      <c r="X538">
        <v>5.8721666666000001</v>
      </c>
      <c r="Z538">
        <v>10579.74</v>
      </c>
      <c r="AB538">
        <v>10586.56</v>
      </c>
      <c r="AD538">
        <v>10581.01</v>
      </c>
      <c r="AF538" t="s">
        <v>182</v>
      </c>
      <c r="AG538" t="s">
        <v>185</v>
      </c>
      <c r="AI538" t="s">
        <v>186</v>
      </c>
      <c r="AJ538" t="s">
        <v>1788</v>
      </c>
      <c r="AK538" t="s">
        <v>188</v>
      </c>
    </row>
    <row r="539" spans="1:37" x14ac:dyDescent="0.3">
      <c r="A539">
        <v>8008</v>
      </c>
      <c r="B539" s="207">
        <v>46121</v>
      </c>
      <c r="C539" t="s">
        <v>438</v>
      </c>
      <c r="D539" t="s">
        <v>1789</v>
      </c>
      <c r="E539" t="s">
        <v>1790</v>
      </c>
      <c r="F539" s="207">
        <v>46934</v>
      </c>
      <c r="G539">
        <v>2.5</v>
      </c>
      <c r="H539">
        <v>75955</v>
      </c>
      <c r="I539">
        <v>74849349</v>
      </c>
      <c r="J539">
        <v>3.3290000000000002</v>
      </c>
      <c r="K539">
        <v>10518</v>
      </c>
      <c r="L539">
        <v>79889469</v>
      </c>
      <c r="M539">
        <v>-353117</v>
      </c>
      <c r="N539">
        <v>5393237</v>
      </c>
      <c r="O539">
        <v>543005</v>
      </c>
      <c r="P539">
        <v>4691211</v>
      </c>
      <c r="Q539">
        <v>159021</v>
      </c>
      <c r="S539">
        <v>0</v>
      </c>
      <c r="T539">
        <v>732790</v>
      </c>
      <c r="U539">
        <v>73270</v>
      </c>
      <c r="V539">
        <v>2.2237666666</v>
      </c>
      <c r="W539">
        <v>2.1530333332999998</v>
      </c>
      <c r="X539">
        <v>6.6643333333000001</v>
      </c>
      <c r="Z539">
        <v>10516.97</v>
      </c>
      <c r="AB539">
        <v>10522.72</v>
      </c>
      <c r="AD539">
        <v>10516.97</v>
      </c>
      <c r="AF539" t="s">
        <v>182</v>
      </c>
      <c r="AG539" t="s">
        <v>185</v>
      </c>
      <c r="AI539" t="s">
        <v>186</v>
      </c>
      <c r="AJ539" t="s">
        <v>1791</v>
      </c>
      <c r="AK539" t="s">
        <v>188</v>
      </c>
    </row>
    <row r="540" spans="1:37" x14ac:dyDescent="0.3">
      <c r="A540">
        <v>8008</v>
      </c>
      <c r="B540" s="207">
        <v>46121</v>
      </c>
      <c r="C540" t="s">
        <v>438</v>
      </c>
      <c r="D540" t="s">
        <v>1792</v>
      </c>
      <c r="E540" t="s">
        <v>1793</v>
      </c>
      <c r="F540" s="207">
        <v>47057</v>
      </c>
      <c r="G540">
        <v>2.5</v>
      </c>
      <c r="H540">
        <v>2</v>
      </c>
      <c r="I540">
        <v>1921</v>
      </c>
      <c r="J540">
        <v>3.3929999999999998</v>
      </c>
      <c r="K540">
        <v>10386</v>
      </c>
      <c r="L540">
        <v>2077</v>
      </c>
      <c r="M540">
        <v>32</v>
      </c>
      <c r="N540">
        <v>124</v>
      </c>
      <c r="O540">
        <v>14</v>
      </c>
      <c r="P540">
        <v>0</v>
      </c>
      <c r="Q540">
        <v>110</v>
      </c>
      <c r="S540">
        <v>0</v>
      </c>
      <c r="T540">
        <v>0</v>
      </c>
      <c r="U540">
        <v>0</v>
      </c>
      <c r="V540">
        <v>2.5607000000000002</v>
      </c>
      <c r="W540">
        <v>2.4784666666000001</v>
      </c>
      <c r="X540">
        <v>8.4631333333000001</v>
      </c>
      <c r="Z540">
        <v>10385.35</v>
      </c>
      <c r="AB540">
        <v>10390.07</v>
      </c>
      <c r="AD540">
        <v>10384.06</v>
      </c>
      <c r="AF540" t="s">
        <v>182</v>
      </c>
      <c r="AG540" t="s">
        <v>185</v>
      </c>
      <c r="AI540" t="s">
        <v>186</v>
      </c>
      <c r="AJ540" t="s">
        <v>1794</v>
      </c>
      <c r="AK540" t="s">
        <v>188</v>
      </c>
    </row>
    <row r="541" spans="1:37" x14ac:dyDescent="0.3">
      <c r="A541">
        <v>8008</v>
      </c>
      <c r="B541" s="207">
        <v>46121</v>
      </c>
      <c r="C541" t="s">
        <v>438</v>
      </c>
      <c r="D541" t="s">
        <v>1795</v>
      </c>
      <c r="E541" t="s">
        <v>1796</v>
      </c>
      <c r="F541" s="207">
        <v>47087</v>
      </c>
      <c r="G541">
        <v>2.5</v>
      </c>
      <c r="H541">
        <v>53460</v>
      </c>
      <c r="I541">
        <v>52412086</v>
      </c>
      <c r="J541">
        <v>3.4239999999999999</v>
      </c>
      <c r="K541">
        <v>10350</v>
      </c>
      <c r="L541">
        <v>55331100</v>
      </c>
      <c r="M541">
        <v>-287368</v>
      </c>
      <c r="N541">
        <v>3206382</v>
      </c>
      <c r="O541">
        <v>378253</v>
      </c>
      <c r="P541">
        <v>2697240</v>
      </c>
      <c r="Q541">
        <v>130889</v>
      </c>
      <c r="S541">
        <v>0</v>
      </c>
      <c r="T541">
        <v>430530</v>
      </c>
      <c r="U541">
        <v>43020</v>
      </c>
      <c r="V541">
        <v>2.6429</v>
      </c>
      <c r="W541">
        <v>2.5570333333000002</v>
      </c>
      <c r="X541">
        <v>8.9396666666000009</v>
      </c>
      <c r="Z541">
        <v>10348.48</v>
      </c>
      <c r="AB541">
        <v>10353.59</v>
      </c>
      <c r="AD541">
        <v>10348.209999999999</v>
      </c>
      <c r="AF541" t="s">
        <v>182</v>
      </c>
      <c r="AG541" t="s">
        <v>185</v>
      </c>
      <c r="AI541" t="s">
        <v>186</v>
      </c>
      <c r="AJ541" t="s">
        <v>1797</v>
      </c>
      <c r="AK541" t="s">
        <v>188</v>
      </c>
    </row>
    <row r="542" spans="1:37" x14ac:dyDescent="0.3">
      <c r="A542">
        <v>8008</v>
      </c>
      <c r="B542" s="207">
        <v>46121</v>
      </c>
      <c r="C542" t="s">
        <v>438</v>
      </c>
      <c r="D542" t="s">
        <v>1798</v>
      </c>
      <c r="E542" t="s">
        <v>1799</v>
      </c>
      <c r="F542" s="207">
        <v>47177</v>
      </c>
      <c r="G542">
        <v>2.5</v>
      </c>
      <c r="H542">
        <v>61383</v>
      </c>
      <c r="I542">
        <v>59534033</v>
      </c>
      <c r="J542">
        <v>3.512</v>
      </c>
      <c r="K542">
        <v>10239</v>
      </c>
      <c r="L542">
        <v>62850053</v>
      </c>
      <c r="M542">
        <v>29381</v>
      </c>
      <c r="N542">
        <v>3286639</v>
      </c>
      <c r="O542">
        <v>408950</v>
      </c>
      <c r="P542">
        <v>780420</v>
      </c>
      <c r="Q542">
        <v>2097269</v>
      </c>
      <c r="S542">
        <v>0</v>
      </c>
      <c r="T542">
        <v>166500</v>
      </c>
      <c r="U542">
        <v>16640</v>
      </c>
      <c r="V542">
        <v>2.8895</v>
      </c>
      <c r="W542">
        <v>2.7916666665999998</v>
      </c>
      <c r="X542">
        <v>10.4600333333</v>
      </c>
      <c r="Z542">
        <v>10239.19</v>
      </c>
      <c r="AB542">
        <v>10242.129999999999</v>
      </c>
      <c r="AD542">
        <v>10238.34</v>
      </c>
      <c r="AF542" t="s">
        <v>182</v>
      </c>
      <c r="AG542" t="s">
        <v>185</v>
      </c>
      <c r="AI542" t="s">
        <v>186</v>
      </c>
      <c r="AJ542" t="s">
        <v>1800</v>
      </c>
      <c r="AK542" t="s">
        <v>188</v>
      </c>
    </row>
    <row r="543" spans="1:37" x14ac:dyDescent="0.3">
      <c r="A543">
        <v>8008</v>
      </c>
      <c r="B543" s="207">
        <v>46121</v>
      </c>
      <c r="C543" t="s">
        <v>438</v>
      </c>
      <c r="D543" t="s">
        <v>1801</v>
      </c>
      <c r="E543" t="s">
        <v>1802</v>
      </c>
      <c r="F543" s="207">
        <v>47299</v>
      </c>
      <c r="G543">
        <v>2.5</v>
      </c>
      <c r="H543">
        <v>21011</v>
      </c>
      <c r="I543">
        <v>20470830</v>
      </c>
      <c r="J543">
        <v>3.5569999999999999</v>
      </c>
      <c r="K543">
        <v>10107</v>
      </c>
      <c r="L543">
        <v>21235816</v>
      </c>
      <c r="M543">
        <v>-178062</v>
      </c>
      <c r="N543">
        <v>943048</v>
      </c>
      <c r="O543">
        <v>146545</v>
      </c>
      <c r="P543">
        <v>568572</v>
      </c>
      <c r="Q543">
        <v>227931</v>
      </c>
      <c r="S543">
        <v>0</v>
      </c>
      <c r="T543">
        <v>100100</v>
      </c>
      <c r="U543">
        <v>9980</v>
      </c>
      <c r="V543">
        <v>3.2237666666</v>
      </c>
      <c r="W543">
        <v>3.1140666665999999</v>
      </c>
      <c r="X543">
        <v>12.649900000000001</v>
      </c>
      <c r="Z543">
        <v>10107.32</v>
      </c>
      <c r="AB543">
        <v>10109.91</v>
      </c>
      <c r="AD543">
        <v>10106.370000000001</v>
      </c>
      <c r="AF543" t="s">
        <v>182</v>
      </c>
      <c r="AG543" t="s">
        <v>185</v>
      </c>
      <c r="AI543" t="s">
        <v>186</v>
      </c>
      <c r="AJ543" t="s">
        <v>1803</v>
      </c>
      <c r="AK543" t="s">
        <v>188</v>
      </c>
    </row>
    <row r="544" spans="1:37" x14ac:dyDescent="0.3">
      <c r="A544">
        <v>8008</v>
      </c>
      <c r="B544" s="207">
        <v>46121</v>
      </c>
      <c r="C544" t="s">
        <v>438</v>
      </c>
      <c r="D544" t="s">
        <v>1804</v>
      </c>
      <c r="E544" t="s">
        <v>1805</v>
      </c>
      <c r="F544" s="207">
        <v>47330</v>
      </c>
      <c r="G544">
        <v>2.5</v>
      </c>
      <c r="H544">
        <v>35426</v>
      </c>
      <c r="I544">
        <v>34485988</v>
      </c>
      <c r="J544">
        <v>3.5590000000000002</v>
      </c>
      <c r="K544">
        <v>10077</v>
      </c>
      <c r="L544">
        <v>35698779</v>
      </c>
      <c r="M544">
        <v>-299706</v>
      </c>
      <c r="N544">
        <v>1512497</v>
      </c>
      <c r="O544">
        <v>246567</v>
      </c>
      <c r="P544">
        <v>1188946</v>
      </c>
      <c r="Q544">
        <v>76984</v>
      </c>
      <c r="S544">
        <v>0</v>
      </c>
      <c r="T544">
        <v>200950</v>
      </c>
      <c r="U544">
        <v>20080</v>
      </c>
      <c r="V544">
        <v>3.3086666666000002</v>
      </c>
      <c r="W544">
        <v>3.1964999999999999</v>
      </c>
      <c r="X544">
        <v>13.2372</v>
      </c>
      <c r="Z544">
        <v>10076.129999999999</v>
      </c>
      <c r="AB544">
        <v>10079.75</v>
      </c>
      <c r="AD544">
        <v>10075.48</v>
      </c>
      <c r="AF544" t="s">
        <v>182</v>
      </c>
      <c r="AG544" t="s">
        <v>185</v>
      </c>
      <c r="AI544" t="s">
        <v>186</v>
      </c>
      <c r="AJ544" t="s">
        <v>1806</v>
      </c>
      <c r="AK544" t="s">
        <v>188</v>
      </c>
    </row>
    <row r="545" spans="1:37" x14ac:dyDescent="0.3">
      <c r="A545">
        <v>8008</v>
      </c>
      <c r="B545" s="207">
        <v>46121</v>
      </c>
      <c r="C545" t="s">
        <v>438</v>
      </c>
      <c r="D545" t="s">
        <v>1807</v>
      </c>
      <c r="E545" t="s">
        <v>1808</v>
      </c>
      <c r="F545" s="207">
        <v>47361</v>
      </c>
      <c r="G545">
        <v>2.5</v>
      </c>
      <c r="H545">
        <v>30228</v>
      </c>
      <c r="I545">
        <v>28994214</v>
      </c>
      <c r="J545">
        <v>3.5609999999999999</v>
      </c>
      <c r="K545">
        <v>10046</v>
      </c>
      <c r="L545">
        <v>30367048</v>
      </c>
      <c r="M545">
        <v>148294</v>
      </c>
      <c r="N545">
        <v>1224540</v>
      </c>
      <c r="O545">
        <v>96364</v>
      </c>
      <c r="P545">
        <v>322553</v>
      </c>
      <c r="Q545">
        <v>805623</v>
      </c>
      <c r="S545">
        <v>0</v>
      </c>
      <c r="T545">
        <v>58640</v>
      </c>
      <c r="U545">
        <v>5860</v>
      </c>
      <c r="V545">
        <v>3.3936000000000002</v>
      </c>
      <c r="W545">
        <v>3.2787333332999999</v>
      </c>
      <c r="X545">
        <v>13.8414</v>
      </c>
      <c r="Z545">
        <v>10045.07</v>
      </c>
      <c r="AB545">
        <v>10049.43</v>
      </c>
      <c r="AD545">
        <v>10044.74</v>
      </c>
      <c r="AF545" t="s">
        <v>182</v>
      </c>
      <c r="AG545" t="s">
        <v>185</v>
      </c>
      <c r="AI545" t="s">
        <v>186</v>
      </c>
      <c r="AJ545" t="s">
        <v>1809</v>
      </c>
      <c r="AK545" t="s">
        <v>188</v>
      </c>
    </row>
    <row r="546" spans="1:37" x14ac:dyDescent="0.3">
      <c r="A546">
        <v>8008</v>
      </c>
      <c r="B546" s="207">
        <v>46121</v>
      </c>
      <c r="C546" t="s">
        <v>438</v>
      </c>
      <c r="D546" t="s">
        <v>1810</v>
      </c>
      <c r="E546" t="s">
        <v>1811</v>
      </c>
      <c r="F546" s="207">
        <v>47391</v>
      </c>
      <c r="G546">
        <v>2.5</v>
      </c>
      <c r="H546">
        <v>173220</v>
      </c>
      <c r="I546">
        <v>167915865</v>
      </c>
      <c r="J546">
        <v>3.5619999999999998</v>
      </c>
      <c r="K546">
        <v>10016</v>
      </c>
      <c r="L546">
        <v>173497150</v>
      </c>
      <c r="M546">
        <v>-1070456</v>
      </c>
      <c r="N546">
        <v>6651741</v>
      </c>
      <c r="O546">
        <v>1087303</v>
      </c>
      <c r="P546">
        <v>2081951</v>
      </c>
      <c r="Q546">
        <v>3482487</v>
      </c>
      <c r="S546">
        <v>0</v>
      </c>
      <c r="T546">
        <v>443670</v>
      </c>
      <c r="U546">
        <v>44330</v>
      </c>
      <c r="V546">
        <v>3.4758</v>
      </c>
      <c r="W546">
        <v>3.3581333333000001</v>
      </c>
      <c r="X546">
        <v>14.4421666666</v>
      </c>
      <c r="Z546">
        <v>10015.120000000001</v>
      </c>
      <c r="AB546">
        <v>10020.58</v>
      </c>
      <c r="AD546">
        <v>10015.120000000001</v>
      </c>
      <c r="AF546" t="s">
        <v>182</v>
      </c>
      <c r="AG546" t="s">
        <v>185</v>
      </c>
      <c r="AI546" t="s">
        <v>186</v>
      </c>
      <c r="AJ546" t="s">
        <v>1812</v>
      </c>
      <c r="AK546" t="s">
        <v>188</v>
      </c>
    </row>
    <row r="547" spans="1:37" x14ac:dyDescent="0.3">
      <c r="A547">
        <v>8008</v>
      </c>
      <c r="B547" s="207">
        <v>46121</v>
      </c>
      <c r="C547" t="s">
        <v>438</v>
      </c>
      <c r="D547" t="s">
        <v>1813</v>
      </c>
      <c r="E547" t="s">
        <v>1814</v>
      </c>
      <c r="F547" s="207">
        <v>47422</v>
      </c>
      <c r="G547">
        <v>2.5</v>
      </c>
      <c r="H547">
        <v>138024</v>
      </c>
      <c r="I547">
        <v>133595247</v>
      </c>
      <c r="J547">
        <v>3.5649999999999999</v>
      </c>
      <c r="K547">
        <v>9986</v>
      </c>
      <c r="L547">
        <v>137830765</v>
      </c>
      <c r="M547">
        <v>-764416</v>
      </c>
      <c r="N547">
        <v>4999934</v>
      </c>
      <c r="O547">
        <v>841578</v>
      </c>
      <c r="P547">
        <v>2247293</v>
      </c>
      <c r="Q547">
        <v>1911063</v>
      </c>
      <c r="S547">
        <v>0</v>
      </c>
      <c r="T547">
        <v>432410</v>
      </c>
      <c r="U547">
        <v>43210</v>
      </c>
      <c r="V547">
        <v>3.5607000000000002</v>
      </c>
      <c r="W547">
        <v>3.4400333333000002</v>
      </c>
      <c r="X547">
        <v>15.0791333333</v>
      </c>
      <c r="Z547">
        <v>9983.99</v>
      </c>
      <c r="AB547">
        <v>9990.6</v>
      </c>
      <c r="AD547">
        <v>9984.33</v>
      </c>
      <c r="AF547" t="s">
        <v>182</v>
      </c>
      <c r="AG547" t="s">
        <v>185</v>
      </c>
      <c r="AI547" t="s">
        <v>186</v>
      </c>
      <c r="AJ547" t="s">
        <v>1815</v>
      </c>
      <c r="AK547" t="s">
        <v>188</v>
      </c>
    </row>
    <row r="548" spans="1:37" x14ac:dyDescent="0.3">
      <c r="A548">
        <v>8008</v>
      </c>
      <c r="B548" s="207">
        <v>46121</v>
      </c>
      <c r="C548" t="s">
        <v>438</v>
      </c>
      <c r="D548" t="s">
        <v>1816</v>
      </c>
      <c r="E548" t="s">
        <v>1817</v>
      </c>
      <c r="F548" s="207">
        <v>47452</v>
      </c>
      <c r="G548">
        <v>2.5</v>
      </c>
      <c r="H548">
        <v>42652</v>
      </c>
      <c r="I548">
        <v>41371529</v>
      </c>
      <c r="J548">
        <v>3.5670000000000002</v>
      </c>
      <c r="K548">
        <v>9956</v>
      </c>
      <c r="L548">
        <v>42464330</v>
      </c>
      <c r="M548">
        <v>-362663</v>
      </c>
      <c r="N548">
        <v>1455464</v>
      </c>
      <c r="O548">
        <v>294420</v>
      </c>
      <c r="P548">
        <v>752081</v>
      </c>
      <c r="Q548">
        <v>408963</v>
      </c>
      <c r="S548">
        <v>0</v>
      </c>
      <c r="T548">
        <v>146500</v>
      </c>
      <c r="U548">
        <v>14640</v>
      </c>
      <c r="V548">
        <v>3.6429</v>
      </c>
      <c r="W548">
        <v>3.5191333333000001</v>
      </c>
      <c r="X548">
        <v>15.711333333300001</v>
      </c>
      <c r="Z548">
        <v>9953.58</v>
      </c>
      <c r="AB548">
        <v>9962.07</v>
      </c>
      <c r="AD548">
        <v>9954.98</v>
      </c>
      <c r="AF548" t="s">
        <v>182</v>
      </c>
      <c r="AG548" t="s">
        <v>185</v>
      </c>
      <c r="AI548" t="s">
        <v>186</v>
      </c>
      <c r="AJ548" t="s">
        <v>1818</v>
      </c>
      <c r="AK548" t="s">
        <v>188</v>
      </c>
    </row>
    <row r="549" spans="1:37" x14ac:dyDescent="0.3">
      <c r="A549">
        <v>8008</v>
      </c>
      <c r="B549" s="207">
        <v>46121</v>
      </c>
      <c r="C549" t="s">
        <v>438</v>
      </c>
      <c r="D549" t="s">
        <v>1819</v>
      </c>
      <c r="E549" t="s">
        <v>1820</v>
      </c>
      <c r="F549" s="207">
        <v>47483</v>
      </c>
      <c r="G549">
        <v>2.5</v>
      </c>
      <c r="H549">
        <v>14758</v>
      </c>
      <c r="I549">
        <v>14302431</v>
      </c>
      <c r="J549">
        <v>3.57</v>
      </c>
      <c r="K549">
        <v>9926</v>
      </c>
      <c r="L549">
        <v>14648790</v>
      </c>
      <c r="M549">
        <v>-125272</v>
      </c>
      <c r="N549">
        <v>471631</v>
      </c>
      <c r="O549">
        <v>101659</v>
      </c>
      <c r="P549">
        <v>300587</v>
      </c>
      <c r="Q549">
        <v>69385</v>
      </c>
      <c r="S549">
        <v>0</v>
      </c>
      <c r="T549">
        <v>56310</v>
      </c>
      <c r="U549">
        <v>5620</v>
      </c>
      <c r="V549">
        <v>3.7278666666000002</v>
      </c>
      <c r="W549">
        <v>3.6006666666</v>
      </c>
      <c r="X549">
        <v>16.380533333300001</v>
      </c>
      <c r="Z549">
        <v>9921.9599999999991</v>
      </c>
      <c r="AB549">
        <v>9932.41</v>
      </c>
      <c r="AD549">
        <v>9924.82</v>
      </c>
      <c r="AF549" t="s">
        <v>182</v>
      </c>
      <c r="AG549" t="s">
        <v>185</v>
      </c>
      <c r="AI549" t="s">
        <v>186</v>
      </c>
      <c r="AJ549" t="s">
        <v>1821</v>
      </c>
      <c r="AK549" t="s">
        <v>188</v>
      </c>
    </row>
    <row r="550" spans="1:37" x14ac:dyDescent="0.3">
      <c r="A550">
        <v>8008</v>
      </c>
      <c r="B550" s="207">
        <v>46121</v>
      </c>
      <c r="C550" t="s">
        <v>438</v>
      </c>
      <c r="D550" t="s">
        <v>1822</v>
      </c>
      <c r="E550" t="s">
        <v>1823</v>
      </c>
      <c r="F550" s="207">
        <v>47514</v>
      </c>
      <c r="G550">
        <v>2.5</v>
      </c>
      <c r="H550">
        <v>102384</v>
      </c>
      <c r="I550">
        <v>99105477</v>
      </c>
      <c r="J550">
        <v>3.5739999999999998</v>
      </c>
      <c r="K550">
        <v>9895</v>
      </c>
      <c r="L550">
        <v>101308967</v>
      </c>
      <c r="M550">
        <v>-847121</v>
      </c>
      <c r="N550">
        <v>3050611</v>
      </c>
      <c r="O550">
        <v>703783</v>
      </c>
      <c r="P550">
        <v>1754818</v>
      </c>
      <c r="Q550">
        <v>592010</v>
      </c>
      <c r="S550">
        <v>0</v>
      </c>
      <c r="T550">
        <v>344180</v>
      </c>
      <c r="U550">
        <v>34400</v>
      </c>
      <c r="V550">
        <v>3.8128000000000002</v>
      </c>
      <c r="W550">
        <v>3.6819999999999999</v>
      </c>
      <c r="X550">
        <v>17.0657</v>
      </c>
      <c r="Z550">
        <v>9889.7000000000007</v>
      </c>
      <c r="AB550">
        <v>9902.9</v>
      </c>
      <c r="AD550">
        <v>9894.7999999999993</v>
      </c>
      <c r="AF550" t="s">
        <v>182</v>
      </c>
      <c r="AG550" t="s">
        <v>185</v>
      </c>
      <c r="AI550" t="s">
        <v>186</v>
      </c>
      <c r="AJ550" t="s">
        <v>1824</v>
      </c>
      <c r="AK550" t="s">
        <v>188</v>
      </c>
    </row>
    <row r="551" spans="1:37" x14ac:dyDescent="0.3">
      <c r="A551">
        <v>8008</v>
      </c>
      <c r="B551" s="207">
        <v>46121</v>
      </c>
      <c r="C551" t="s">
        <v>438</v>
      </c>
      <c r="D551" t="s">
        <v>1825</v>
      </c>
      <c r="E551" t="s">
        <v>1826</v>
      </c>
      <c r="F551" s="207">
        <v>47664</v>
      </c>
      <c r="G551">
        <v>2.5</v>
      </c>
      <c r="H551">
        <v>400</v>
      </c>
      <c r="I551">
        <v>384803</v>
      </c>
      <c r="J551">
        <v>3.6059999999999999</v>
      </c>
      <c r="K551">
        <v>9741</v>
      </c>
      <c r="L551">
        <v>389640</v>
      </c>
      <c r="M551">
        <v>-2921</v>
      </c>
      <c r="N551">
        <v>7758</v>
      </c>
      <c r="O551">
        <v>2721</v>
      </c>
      <c r="P551">
        <v>3877</v>
      </c>
      <c r="Q551">
        <v>1160</v>
      </c>
      <c r="S551">
        <v>0</v>
      </c>
      <c r="T551">
        <v>910</v>
      </c>
      <c r="U551">
        <v>80</v>
      </c>
      <c r="V551">
        <v>4.2237666666000004</v>
      </c>
      <c r="W551">
        <v>4.0778666666000003</v>
      </c>
      <c r="X551">
        <v>20.509933333300001</v>
      </c>
      <c r="Z551">
        <v>9732.91</v>
      </c>
      <c r="AB551">
        <v>9748.8799999999992</v>
      </c>
      <c r="AD551">
        <v>9742.0499999999993</v>
      </c>
      <c r="AF551" t="s">
        <v>182</v>
      </c>
      <c r="AG551" t="s">
        <v>185</v>
      </c>
      <c r="AI551" t="s">
        <v>186</v>
      </c>
      <c r="AJ551" t="s">
        <v>1827</v>
      </c>
      <c r="AK551" t="s">
        <v>188</v>
      </c>
    </row>
    <row r="552" spans="1:37" x14ac:dyDescent="0.3">
      <c r="A552">
        <v>8008</v>
      </c>
      <c r="B552" s="207">
        <v>46121</v>
      </c>
      <c r="C552" t="s">
        <v>438</v>
      </c>
      <c r="D552" t="s">
        <v>1828</v>
      </c>
      <c r="E552" t="s">
        <v>1829</v>
      </c>
      <c r="F552" s="207">
        <v>47695</v>
      </c>
      <c r="G552">
        <v>2.5</v>
      </c>
      <c r="H552">
        <v>12758</v>
      </c>
      <c r="I552">
        <v>12258234</v>
      </c>
      <c r="J552">
        <v>3.6160000000000001</v>
      </c>
      <c r="K552">
        <v>9707</v>
      </c>
      <c r="L552">
        <v>12384190</v>
      </c>
      <c r="M552">
        <v>-94284</v>
      </c>
      <c r="N552">
        <v>220240</v>
      </c>
      <c r="O552">
        <v>86630</v>
      </c>
      <c r="P552">
        <v>98440</v>
      </c>
      <c r="Q552">
        <v>35170</v>
      </c>
      <c r="S552">
        <v>0</v>
      </c>
      <c r="T552">
        <v>25890</v>
      </c>
      <c r="U552">
        <v>2570</v>
      </c>
      <c r="V552">
        <v>4.3086666665999998</v>
      </c>
      <c r="W552">
        <v>4.1598666666000002</v>
      </c>
      <c r="X552">
        <v>21.252233333300001</v>
      </c>
      <c r="Z552">
        <v>9699.2199999999993</v>
      </c>
      <c r="AB552">
        <v>9715.0499999999993</v>
      </c>
      <c r="AD552">
        <v>9708.91</v>
      </c>
      <c r="AF552" t="s">
        <v>182</v>
      </c>
      <c r="AG552" t="s">
        <v>185</v>
      </c>
      <c r="AI552" t="s">
        <v>186</v>
      </c>
      <c r="AJ552" t="s">
        <v>1830</v>
      </c>
      <c r="AK552" t="s">
        <v>188</v>
      </c>
    </row>
    <row r="553" spans="1:37" x14ac:dyDescent="0.3">
      <c r="A553">
        <v>8008</v>
      </c>
      <c r="B553" s="207">
        <v>46121</v>
      </c>
      <c r="C553" t="s">
        <v>438</v>
      </c>
      <c r="D553" t="s">
        <v>1831</v>
      </c>
      <c r="E553" t="s">
        <v>1832</v>
      </c>
      <c r="F553" s="207">
        <v>47726</v>
      </c>
      <c r="G553">
        <v>2</v>
      </c>
      <c r="H553">
        <v>15816</v>
      </c>
      <c r="I553">
        <v>14832317</v>
      </c>
      <c r="J553">
        <v>3.6240000000000001</v>
      </c>
      <c r="K553">
        <v>9440</v>
      </c>
      <c r="L553">
        <v>14930304</v>
      </c>
      <c r="M553">
        <v>-93657</v>
      </c>
      <c r="N553">
        <v>191644</v>
      </c>
      <c r="O553">
        <v>85749</v>
      </c>
      <c r="P553">
        <v>66223</v>
      </c>
      <c r="Q553">
        <v>39672</v>
      </c>
      <c r="S553">
        <v>0</v>
      </c>
      <c r="T553">
        <v>21260</v>
      </c>
      <c r="U553">
        <v>2110</v>
      </c>
      <c r="V553">
        <v>4.3936000000000002</v>
      </c>
      <c r="W553">
        <v>4.2417666666000002</v>
      </c>
      <c r="X553">
        <v>22.011633333300001</v>
      </c>
      <c r="Z553">
        <v>9433.5</v>
      </c>
      <c r="AB553">
        <v>9447.02</v>
      </c>
      <c r="AD553">
        <v>9441.91</v>
      </c>
      <c r="AF553" t="s">
        <v>182</v>
      </c>
      <c r="AG553" t="s">
        <v>185</v>
      </c>
      <c r="AI553" t="s">
        <v>186</v>
      </c>
      <c r="AJ553" t="s">
        <v>1833</v>
      </c>
      <c r="AK553" t="s">
        <v>188</v>
      </c>
    </row>
    <row r="554" spans="1:37" x14ac:dyDescent="0.3">
      <c r="A554">
        <v>8008</v>
      </c>
      <c r="B554" s="207">
        <v>46121</v>
      </c>
      <c r="C554" t="s">
        <v>438</v>
      </c>
      <c r="D554" t="s">
        <v>1834</v>
      </c>
      <c r="E554" t="s">
        <v>1835</v>
      </c>
      <c r="F554" s="207">
        <v>47756</v>
      </c>
      <c r="G554">
        <v>2</v>
      </c>
      <c r="H554">
        <v>10559</v>
      </c>
      <c r="I554">
        <v>9886646</v>
      </c>
      <c r="J554">
        <v>3.633</v>
      </c>
      <c r="K554">
        <v>9409</v>
      </c>
      <c r="L554">
        <v>9934963</v>
      </c>
      <c r="M554">
        <v>-62247</v>
      </c>
      <c r="N554">
        <v>110564</v>
      </c>
      <c r="O554">
        <v>57151</v>
      </c>
      <c r="P554">
        <v>35641</v>
      </c>
      <c r="Q554">
        <v>17772</v>
      </c>
      <c r="S554">
        <v>0</v>
      </c>
      <c r="T554">
        <v>12980</v>
      </c>
      <c r="U554">
        <v>1290</v>
      </c>
      <c r="V554">
        <v>4.4757999999999996</v>
      </c>
      <c r="W554">
        <v>4.3208666665999997</v>
      </c>
      <c r="X554">
        <v>22.7617666666</v>
      </c>
      <c r="Z554">
        <v>9402.89</v>
      </c>
      <c r="AB554">
        <v>9414.9699999999993</v>
      </c>
      <c r="AD554">
        <v>9411.0300000000007</v>
      </c>
      <c r="AF554" t="s">
        <v>182</v>
      </c>
      <c r="AG554" t="s">
        <v>185</v>
      </c>
      <c r="AI554" t="s">
        <v>186</v>
      </c>
      <c r="AJ554" t="s">
        <v>1836</v>
      </c>
      <c r="AK554" t="s">
        <v>188</v>
      </c>
    </row>
    <row r="555" spans="1:37" x14ac:dyDescent="0.3">
      <c r="A555">
        <v>8008</v>
      </c>
      <c r="B555" s="207">
        <v>46121</v>
      </c>
      <c r="C555" t="s">
        <v>438</v>
      </c>
      <c r="D555" t="s">
        <v>1837</v>
      </c>
      <c r="E555" t="s">
        <v>1838</v>
      </c>
      <c r="F555" s="207">
        <v>47787</v>
      </c>
      <c r="G555">
        <v>2</v>
      </c>
      <c r="H555">
        <v>52582</v>
      </c>
      <c r="I555">
        <v>49155264</v>
      </c>
      <c r="J555">
        <v>3.6419999999999999</v>
      </c>
      <c r="K555">
        <v>9377</v>
      </c>
      <c r="L555">
        <v>49306141</v>
      </c>
      <c r="M555">
        <v>-310430</v>
      </c>
      <c r="N555">
        <v>461307</v>
      </c>
      <c r="O555">
        <v>284139</v>
      </c>
      <c r="P555">
        <v>64715</v>
      </c>
      <c r="Q555">
        <v>112453</v>
      </c>
      <c r="S555">
        <v>0</v>
      </c>
      <c r="T555">
        <v>48830</v>
      </c>
      <c r="U555">
        <v>4880</v>
      </c>
      <c r="V555">
        <v>4.5606999999999998</v>
      </c>
      <c r="W555">
        <v>4.4024333333000003</v>
      </c>
      <c r="X555">
        <v>23.5527666666</v>
      </c>
      <c r="Z555">
        <v>9371.44</v>
      </c>
      <c r="AB555">
        <v>9381.6299999999992</v>
      </c>
      <c r="AD555">
        <v>9379.2900000000009</v>
      </c>
      <c r="AF555" t="s">
        <v>182</v>
      </c>
      <c r="AG555" t="s">
        <v>185</v>
      </c>
      <c r="AI555" t="s">
        <v>186</v>
      </c>
      <c r="AJ555" t="s">
        <v>1839</v>
      </c>
      <c r="AK555" t="s">
        <v>188</v>
      </c>
    </row>
    <row r="556" spans="1:37" x14ac:dyDescent="0.3">
      <c r="A556">
        <v>8008</v>
      </c>
      <c r="B556" s="207">
        <v>46121</v>
      </c>
      <c r="C556" t="s">
        <v>438</v>
      </c>
      <c r="D556" t="s">
        <v>1840</v>
      </c>
      <c r="E556" t="s">
        <v>1841</v>
      </c>
      <c r="F556" s="207">
        <v>47817</v>
      </c>
      <c r="G556">
        <v>2</v>
      </c>
      <c r="H556">
        <v>8662</v>
      </c>
      <c r="I556">
        <v>8083919</v>
      </c>
      <c r="J556">
        <v>3.6509999999999998</v>
      </c>
      <c r="K556">
        <v>9345</v>
      </c>
      <c r="L556">
        <v>8094639</v>
      </c>
      <c r="M556">
        <v>-51062</v>
      </c>
      <c r="N556">
        <v>61782</v>
      </c>
      <c r="O556">
        <v>46731</v>
      </c>
      <c r="P556">
        <v>986</v>
      </c>
      <c r="Q556">
        <v>14065</v>
      </c>
      <c r="S556">
        <v>0</v>
      </c>
      <c r="T556">
        <v>6680</v>
      </c>
      <c r="U556">
        <v>660</v>
      </c>
      <c r="V556">
        <v>4.6429</v>
      </c>
      <c r="W556">
        <v>4.4810999999999996</v>
      </c>
      <c r="X556">
        <v>24.332899999999999</v>
      </c>
      <c r="Z556">
        <v>9339.73</v>
      </c>
      <c r="AB556">
        <v>9349.64</v>
      </c>
      <c r="AD556">
        <v>9348.5400000000009</v>
      </c>
      <c r="AF556" t="s">
        <v>182</v>
      </c>
      <c r="AG556" t="s">
        <v>185</v>
      </c>
      <c r="AI556" t="s">
        <v>186</v>
      </c>
      <c r="AJ556" t="s">
        <v>1842</v>
      </c>
      <c r="AK556" t="s">
        <v>188</v>
      </c>
    </row>
    <row r="557" spans="1:37" x14ac:dyDescent="0.3">
      <c r="A557">
        <v>8008</v>
      </c>
      <c r="B557" s="207">
        <v>46121</v>
      </c>
      <c r="C557" t="s">
        <v>438</v>
      </c>
      <c r="D557" t="s">
        <v>1843</v>
      </c>
      <c r="E557" t="s">
        <v>1844</v>
      </c>
      <c r="F557" s="207">
        <v>47848</v>
      </c>
      <c r="G557">
        <v>2</v>
      </c>
      <c r="H557">
        <v>19365</v>
      </c>
      <c r="I557">
        <v>16941771</v>
      </c>
      <c r="J557">
        <v>3.661</v>
      </c>
      <c r="K557">
        <v>9313</v>
      </c>
      <c r="L557">
        <v>18034624</v>
      </c>
      <c r="M557">
        <v>987506</v>
      </c>
      <c r="N557">
        <v>105347</v>
      </c>
      <c r="O557">
        <v>4496</v>
      </c>
      <c r="P557">
        <v>0</v>
      </c>
      <c r="Q557">
        <v>100851</v>
      </c>
      <c r="S557">
        <v>0</v>
      </c>
      <c r="T557">
        <v>620</v>
      </c>
      <c r="U557">
        <v>50</v>
      </c>
      <c r="V557">
        <v>4.7278666665999998</v>
      </c>
      <c r="W557">
        <v>4.5622333333</v>
      </c>
      <c r="X557">
        <v>25.154666666600001</v>
      </c>
      <c r="Z557">
        <v>9307.58</v>
      </c>
      <c r="AB557">
        <v>9316.77</v>
      </c>
      <c r="AD557">
        <v>9316.51</v>
      </c>
      <c r="AF557" t="s">
        <v>182</v>
      </c>
      <c r="AG557" t="s">
        <v>185</v>
      </c>
      <c r="AI557" t="s">
        <v>186</v>
      </c>
      <c r="AJ557" t="s">
        <v>1845</v>
      </c>
      <c r="AK557" t="s">
        <v>188</v>
      </c>
    </row>
    <row r="558" spans="1:37" x14ac:dyDescent="0.3">
      <c r="A558">
        <v>8008</v>
      </c>
      <c r="B558" s="207">
        <v>46121</v>
      </c>
      <c r="C558" t="s">
        <v>438</v>
      </c>
      <c r="D558" t="s">
        <v>1846</v>
      </c>
      <c r="E558" t="s">
        <v>1847</v>
      </c>
      <c r="F558" s="207">
        <v>47879</v>
      </c>
      <c r="G558">
        <v>2</v>
      </c>
      <c r="H558">
        <v>4750</v>
      </c>
      <c r="I558">
        <v>4398290</v>
      </c>
      <c r="J558">
        <v>3.6709999999999998</v>
      </c>
      <c r="K558">
        <v>9281</v>
      </c>
      <c r="L558">
        <v>4408475</v>
      </c>
      <c r="M558">
        <v>-7629</v>
      </c>
      <c r="N558">
        <v>17814</v>
      </c>
      <c r="O558">
        <v>10954</v>
      </c>
      <c r="P558">
        <v>0</v>
      </c>
      <c r="Q558">
        <v>6860</v>
      </c>
      <c r="S558">
        <v>0</v>
      </c>
      <c r="T558">
        <v>1530</v>
      </c>
      <c r="U558">
        <v>150</v>
      </c>
      <c r="V558">
        <v>4.8128000000000002</v>
      </c>
      <c r="W558">
        <v>4.6432000000000002</v>
      </c>
      <c r="X558">
        <v>25.9916666666</v>
      </c>
      <c r="Z558">
        <v>9274.6299999999992</v>
      </c>
      <c r="AB558">
        <v>9283.5</v>
      </c>
      <c r="AD558">
        <v>9284.98</v>
      </c>
      <c r="AF558" t="s">
        <v>182</v>
      </c>
      <c r="AG558" t="s">
        <v>185</v>
      </c>
      <c r="AI558" t="s">
        <v>186</v>
      </c>
      <c r="AJ558" t="s">
        <v>1848</v>
      </c>
      <c r="AK558" t="s">
        <v>188</v>
      </c>
    </row>
    <row r="559" spans="1:37" x14ac:dyDescent="0.3">
      <c r="A559">
        <v>8008</v>
      </c>
      <c r="B559" s="207">
        <v>46121</v>
      </c>
      <c r="C559" t="s">
        <v>438</v>
      </c>
      <c r="D559" t="s">
        <v>1849</v>
      </c>
      <c r="E559" t="s">
        <v>1850</v>
      </c>
      <c r="F559" s="207">
        <v>47907</v>
      </c>
      <c r="G559">
        <v>2</v>
      </c>
      <c r="H559">
        <v>7866</v>
      </c>
      <c r="I559">
        <v>7127497</v>
      </c>
      <c r="J559">
        <v>3.681</v>
      </c>
      <c r="K559">
        <v>9251</v>
      </c>
      <c r="L559">
        <v>7276836</v>
      </c>
      <c r="M559">
        <v>131823</v>
      </c>
      <c r="N559">
        <v>17516</v>
      </c>
      <c r="O559">
        <v>4372</v>
      </c>
      <c r="P559">
        <v>0</v>
      </c>
      <c r="Q559">
        <v>13144</v>
      </c>
      <c r="S559">
        <v>0</v>
      </c>
      <c r="T559">
        <v>610</v>
      </c>
      <c r="U559">
        <v>60</v>
      </c>
      <c r="V559">
        <v>4.8895</v>
      </c>
      <c r="W559">
        <v>4.7161333333000002</v>
      </c>
      <c r="X559">
        <v>26.7605333333</v>
      </c>
      <c r="Z559">
        <v>9244</v>
      </c>
      <c r="AB559">
        <v>9253.84</v>
      </c>
      <c r="AD559">
        <v>9256.2199999999993</v>
      </c>
      <c r="AF559" t="s">
        <v>182</v>
      </c>
      <c r="AG559" t="s">
        <v>185</v>
      </c>
      <c r="AI559" t="s">
        <v>186</v>
      </c>
      <c r="AJ559" t="s">
        <v>1851</v>
      </c>
      <c r="AK559" t="s">
        <v>188</v>
      </c>
    </row>
    <row r="560" spans="1:37" x14ac:dyDescent="0.3">
      <c r="A560">
        <v>8008</v>
      </c>
      <c r="B560" s="207">
        <v>46121</v>
      </c>
      <c r="C560" t="s">
        <v>438</v>
      </c>
      <c r="D560" t="s">
        <v>1852</v>
      </c>
      <c r="E560" t="s">
        <v>1853</v>
      </c>
      <c r="F560" s="207">
        <v>47968</v>
      </c>
      <c r="G560">
        <v>2</v>
      </c>
      <c r="H560">
        <v>88287</v>
      </c>
      <c r="I560">
        <v>80279548</v>
      </c>
      <c r="J560">
        <v>3.7010000000000001</v>
      </c>
      <c r="K560">
        <v>9187</v>
      </c>
      <c r="L560">
        <v>81109266</v>
      </c>
      <c r="M560">
        <v>829718</v>
      </c>
      <c r="N560">
        <v>0</v>
      </c>
      <c r="O560">
        <v>0</v>
      </c>
      <c r="P560">
        <v>0</v>
      </c>
      <c r="Q560">
        <v>0</v>
      </c>
      <c r="S560">
        <v>0</v>
      </c>
      <c r="T560">
        <v>0</v>
      </c>
      <c r="U560">
        <v>0</v>
      </c>
      <c r="V560">
        <v>5.0566000000000004</v>
      </c>
      <c r="W560">
        <v>4.8758666666000003</v>
      </c>
      <c r="X560">
        <v>28.459566666600001</v>
      </c>
      <c r="Z560">
        <v>9177.61</v>
      </c>
      <c r="AB560">
        <v>9189.0300000000007</v>
      </c>
      <c r="AD560">
        <v>9195.08</v>
      </c>
      <c r="AF560" t="s">
        <v>182</v>
      </c>
      <c r="AG560" t="s">
        <v>185</v>
      </c>
      <c r="AI560" t="s">
        <v>186</v>
      </c>
      <c r="AJ560" t="s">
        <v>1854</v>
      </c>
      <c r="AK560" t="s">
        <v>188</v>
      </c>
    </row>
    <row r="561" spans="1:37" x14ac:dyDescent="0.3">
      <c r="A561">
        <v>8008</v>
      </c>
      <c r="B561" s="207">
        <v>46121</v>
      </c>
      <c r="C561" t="s">
        <v>438</v>
      </c>
      <c r="D561" t="s">
        <v>1855</v>
      </c>
      <c r="E561" t="s">
        <v>1856</v>
      </c>
      <c r="F561" s="207">
        <v>46173</v>
      </c>
      <c r="G561">
        <v>1.05</v>
      </c>
      <c r="H561">
        <v>3900</v>
      </c>
      <c r="I561">
        <v>3874646</v>
      </c>
      <c r="J561">
        <v>2.661</v>
      </c>
      <c r="K561">
        <v>10497</v>
      </c>
      <c r="L561">
        <v>4093830</v>
      </c>
      <c r="M561">
        <v>16082</v>
      </c>
      <c r="N561">
        <v>203102</v>
      </c>
      <c r="O561">
        <v>11608</v>
      </c>
      <c r="P561">
        <v>137214</v>
      </c>
      <c r="Q561">
        <v>54280</v>
      </c>
      <c r="S561">
        <v>0</v>
      </c>
      <c r="T561">
        <v>20830</v>
      </c>
      <c r="U561">
        <v>2080</v>
      </c>
      <c r="V561">
        <v>0.1406333333</v>
      </c>
      <c r="W561">
        <v>0.13800000000000001</v>
      </c>
      <c r="X561">
        <v>0.1147666666</v>
      </c>
      <c r="Z561">
        <v>10496.69</v>
      </c>
      <c r="AB561">
        <v>10497.5</v>
      </c>
      <c r="AD561">
        <v>10496.83</v>
      </c>
      <c r="AF561" t="s">
        <v>182</v>
      </c>
      <c r="AG561" t="s">
        <v>185</v>
      </c>
      <c r="AI561" t="s">
        <v>186</v>
      </c>
      <c r="AJ561" t="s">
        <v>1857</v>
      </c>
      <c r="AK561" t="s">
        <v>188</v>
      </c>
    </row>
    <row r="562" spans="1:37" x14ac:dyDescent="0.3">
      <c r="A562">
        <v>8008</v>
      </c>
      <c r="B562" s="207">
        <v>46121</v>
      </c>
      <c r="C562" t="s">
        <v>438</v>
      </c>
      <c r="D562" t="s">
        <v>1858</v>
      </c>
      <c r="E562" t="s">
        <v>1859</v>
      </c>
      <c r="F562" s="207">
        <v>46203</v>
      </c>
      <c r="G562">
        <v>1.05</v>
      </c>
      <c r="H562">
        <v>2632</v>
      </c>
      <c r="I562">
        <v>2611468</v>
      </c>
      <c r="J562">
        <v>2.69</v>
      </c>
      <c r="K562">
        <v>10473</v>
      </c>
      <c r="L562">
        <v>2756493</v>
      </c>
      <c r="M562">
        <v>10334</v>
      </c>
      <c r="N562">
        <v>134691</v>
      </c>
      <c r="O562">
        <v>7827</v>
      </c>
      <c r="P562">
        <v>124603</v>
      </c>
      <c r="Q562">
        <v>2261</v>
      </c>
      <c r="S562">
        <v>0</v>
      </c>
      <c r="T562">
        <v>18540</v>
      </c>
      <c r="U562">
        <v>1850</v>
      </c>
      <c r="V562">
        <v>0.22283333329999999</v>
      </c>
      <c r="W562">
        <v>0.2185</v>
      </c>
      <c r="X562">
        <v>0.2051</v>
      </c>
      <c r="Z562">
        <v>10473.31</v>
      </c>
      <c r="AB562">
        <v>10474.17</v>
      </c>
      <c r="AD562">
        <v>10473.06</v>
      </c>
      <c r="AF562" t="s">
        <v>182</v>
      </c>
      <c r="AG562" t="s">
        <v>185</v>
      </c>
      <c r="AI562" t="s">
        <v>186</v>
      </c>
      <c r="AJ562" t="s">
        <v>1860</v>
      </c>
      <c r="AK562" t="s">
        <v>188</v>
      </c>
    </row>
    <row r="563" spans="1:37" x14ac:dyDescent="0.3">
      <c r="A563">
        <v>8008</v>
      </c>
      <c r="B563" s="207">
        <v>46121</v>
      </c>
      <c r="C563" t="s">
        <v>438</v>
      </c>
      <c r="D563" t="s">
        <v>1861</v>
      </c>
      <c r="E563" t="s">
        <v>1862</v>
      </c>
      <c r="F563" s="207">
        <v>46265</v>
      </c>
      <c r="G563">
        <v>1.05</v>
      </c>
      <c r="H563">
        <v>7148</v>
      </c>
      <c r="I563">
        <v>7071926</v>
      </c>
      <c r="J563">
        <v>2.7730000000000001</v>
      </c>
      <c r="K563">
        <v>10422</v>
      </c>
      <c r="L563">
        <v>7449645</v>
      </c>
      <c r="M563">
        <v>25242</v>
      </c>
      <c r="N563">
        <v>352477</v>
      </c>
      <c r="O563">
        <v>21220</v>
      </c>
      <c r="P563">
        <v>325117</v>
      </c>
      <c r="Q563">
        <v>6140</v>
      </c>
      <c r="S563">
        <v>0</v>
      </c>
      <c r="T563">
        <v>48480</v>
      </c>
      <c r="U563">
        <v>4840</v>
      </c>
      <c r="V563">
        <v>0.39269999999999999</v>
      </c>
      <c r="W563">
        <v>0.38419999999999999</v>
      </c>
      <c r="X563">
        <v>0.44579999999999997</v>
      </c>
      <c r="Z563">
        <v>10421.75</v>
      </c>
      <c r="AB563">
        <v>10423.59</v>
      </c>
      <c r="AD563">
        <v>10423.040000000001</v>
      </c>
      <c r="AF563" t="s">
        <v>182</v>
      </c>
      <c r="AG563" t="s">
        <v>185</v>
      </c>
      <c r="AI563" t="s">
        <v>186</v>
      </c>
      <c r="AJ563" t="s">
        <v>1863</v>
      </c>
      <c r="AK563" t="s">
        <v>188</v>
      </c>
    </row>
    <row r="564" spans="1:37" x14ac:dyDescent="0.3">
      <c r="A564">
        <v>8008</v>
      </c>
      <c r="B564" s="207">
        <v>46121</v>
      </c>
      <c r="C564" t="s">
        <v>438</v>
      </c>
      <c r="D564" t="s">
        <v>1864</v>
      </c>
      <c r="E564" t="s">
        <v>1865</v>
      </c>
      <c r="F564" s="207">
        <v>46295</v>
      </c>
      <c r="G564">
        <v>1.05</v>
      </c>
      <c r="H564">
        <v>3636</v>
      </c>
      <c r="I564">
        <v>3591841</v>
      </c>
      <c r="J564">
        <v>2.81</v>
      </c>
      <c r="K564">
        <v>10397</v>
      </c>
      <c r="L564">
        <v>3780349</v>
      </c>
      <c r="M564">
        <v>12487</v>
      </c>
      <c r="N564">
        <v>176021</v>
      </c>
      <c r="O564">
        <v>10784</v>
      </c>
      <c r="P564">
        <v>162218</v>
      </c>
      <c r="Q564">
        <v>3019</v>
      </c>
      <c r="S564">
        <v>0</v>
      </c>
      <c r="T564">
        <v>24220</v>
      </c>
      <c r="U564">
        <v>2420</v>
      </c>
      <c r="V564">
        <v>0.47489999999999999</v>
      </c>
      <c r="W564">
        <v>0.4641666666</v>
      </c>
      <c r="X564">
        <v>0.58816666660000005</v>
      </c>
      <c r="Z564">
        <v>10396.25</v>
      </c>
      <c r="AB564">
        <v>10398.09</v>
      </c>
      <c r="AD564">
        <v>10398.34</v>
      </c>
      <c r="AF564" t="s">
        <v>182</v>
      </c>
      <c r="AG564" t="s">
        <v>185</v>
      </c>
      <c r="AI564" t="s">
        <v>186</v>
      </c>
      <c r="AJ564" t="s">
        <v>1866</v>
      </c>
      <c r="AK564" t="s">
        <v>188</v>
      </c>
    </row>
    <row r="565" spans="1:37" x14ac:dyDescent="0.3">
      <c r="A565">
        <v>8008</v>
      </c>
      <c r="B565" s="207">
        <v>46121</v>
      </c>
      <c r="C565" t="s">
        <v>438</v>
      </c>
      <c r="D565" t="s">
        <v>1867</v>
      </c>
      <c r="E565" t="s">
        <v>1868</v>
      </c>
      <c r="F565" s="207">
        <v>46783</v>
      </c>
      <c r="G565">
        <v>2.5</v>
      </c>
      <c r="H565">
        <v>13743</v>
      </c>
      <c r="I565">
        <v>13609594</v>
      </c>
      <c r="J565">
        <v>3.25</v>
      </c>
      <c r="K565">
        <v>10676</v>
      </c>
      <c r="L565">
        <v>14672026</v>
      </c>
      <c r="M565">
        <v>-63520</v>
      </c>
      <c r="N565">
        <v>1125952</v>
      </c>
      <c r="O565">
        <v>99251</v>
      </c>
      <c r="P565">
        <v>729575</v>
      </c>
      <c r="Q565">
        <v>297126</v>
      </c>
      <c r="S565">
        <v>0</v>
      </c>
      <c r="T565">
        <v>116020</v>
      </c>
      <c r="U565">
        <v>11590</v>
      </c>
      <c r="V565">
        <v>1.8119000000000001</v>
      </c>
      <c r="W565">
        <v>1.7564333333</v>
      </c>
      <c r="X565">
        <v>4.7390333333000001</v>
      </c>
      <c r="Z565">
        <v>10673.66</v>
      </c>
      <c r="AB565">
        <v>10680.12</v>
      </c>
      <c r="AD565">
        <v>10675.72</v>
      </c>
      <c r="AF565" t="s">
        <v>182</v>
      </c>
      <c r="AG565" t="s">
        <v>185</v>
      </c>
      <c r="AI565" t="s">
        <v>186</v>
      </c>
      <c r="AJ565" t="s">
        <v>1869</v>
      </c>
      <c r="AK565" t="s">
        <v>188</v>
      </c>
    </row>
    <row r="566" spans="1:37" x14ac:dyDescent="0.3">
      <c r="A566">
        <v>8008</v>
      </c>
      <c r="B566" s="207">
        <v>46121</v>
      </c>
      <c r="C566" t="s">
        <v>438</v>
      </c>
      <c r="D566" t="s">
        <v>1870</v>
      </c>
      <c r="E566" t="s">
        <v>1871</v>
      </c>
      <c r="F566" s="207">
        <v>47452</v>
      </c>
      <c r="G566">
        <v>2.5</v>
      </c>
      <c r="H566">
        <v>179475</v>
      </c>
      <c r="I566">
        <v>174086919</v>
      </c>
      <c r="J566">
        <v>3.5670000000000002</v>
      </c>
      <c r="K566">
        <v>9956</v>
      </c>
      <c r="L566">
        <v>178685309</v>
      </c>
      <c r="M566">
        <v>-1526050</v>
      </c>
      <c r="N566">
        <v>6124440</v>
      </c>
      <c r="O566">
        <v>1238890</v>
      </c>
      <c r="P566">
        <v>3448026</v>
      </c>
      <c r="Q566">
        <v>1437524</v>
      </c>
      <c r="S566">
        <v>0</v>
      </c>
      <c r="T566">
        <v>656140</v>
      </c>
      <c r="U566">
        <v>65600</v>
      </c>
      <c r="V566">
        <v>3.6429</v>
      </c>
      <c r="W566">
        <v>3.5191333333000001</v>
      </c>
      <c r="X566">
        <v>15.711333333300001</v>
      </c>
      <c r="Z566">
        <v>9953.58</v>
      </c>
      <c r="AB566">
        <v>9962.07</v>
      </c>
      <c r="AD566">
        <v>9954.98</v>
      </c>
      <c r="AF566" t="s">
        <v>182</v>
      </c>
      <c r="AG566" t="s">
        <v>185</v>
      </c>
      <c r="AI566" t="s">
        <v>186</v>
      </c>
      <c r="AJ566" t="s">
        <v>1872</v>
      </c>
      <c r="AK566" t="s">
        <v>188</v>
      </c>
    </row>
    <row r="567" spans="1:37" x14ac:dyDescent="0.3">
      <c r="A567">
        <v>8008</v>
      </c>
      <c r="B567" s="207">
        <v>46121</v>
      </c>
      <c r="C567" t="s">
        <v>438</v>
      </c>
      <c r="D567" t="s">
        <v>1873</v>
      </c>
      <c r="E567" t="s">
        <v>1874</v>
      </c>
      <c r="F567" s="207">
        <v>47514</v>
      </c>
      <c r="G567">
        <v>2.5</v>
      </c>
      <c r="H567">
        <v>39415</v>
      </c>
      <c r="I567">
        <v>38152858</v>
      </c>
      <c r="J567">
        <v>3.5739999999999998</v>
      </c>
      <c r="K567">
        <v>9895</v>
      </c>
      <c r="L567">
        <v>39001141</v>
      </c>
      <c r="M567">
        <v>-326117</v>
      </c>
      <c r="N567">
        <v>1174400</v>
      </c>
      <c r="O567">
        <v>270937</v>
      </c>
      <c r="P567">
        <v>683439</v>
      </c>
      <c r="Q567">
        <v>220024</v>
      </c>
      <c r="S567">
        <v>0</v>
      </c>
      <c r="T567">
        <v>133600</v>
      </c>
      <c r="U567">
        <v>13340</v>
      </c>
      <c r="V567">
        <v>3.8128000000000002</v>
      </c>
      <c r="W567">
        <v>3.6819999999999999</v>
      </c>
      <c r="X567">
        <v>17.0657</v>
      </c>
      <c r="Z567">
        <v>9889.7000000000007</v>
      </c>
      <c r="AB567">
        <v>9902.9</v>
      </c>
      <c r="AD567">
        <v>9894.7999999999993</v>
      </c>
      <c r="AF567" t="s">
        <v>182</v>
      </c>
      <c r="AG567" t="s">
        <v>185</v>
      </c>
      <c r="AI567" t="s">
        <v>186</v>
      </c>
      <c r="AJ567" t="s">
        <v>1875</v>
      </c>
      <c r="AK567" t="s">
        <v>188</v>
      </c>
    </row>
    <row r="568" spans="1:37" x14ac:dyDescent="0.3">
      <c r="A568">
        <v>8008</v>
      </c>
      <c r="B568" s="207">
        <v>46121</v>
      </c>
      <c r="C568" t="s">
        <v>438</v>
      </c>
      <c r="D568" t="s">
        <v>1876</v>
      </c>
      <c r="E568" t="s">
        <v>1877</v>
      </c>
      <c r="F568" s="207">
        <v>46326</v>
      </c>
      <c r="G568">
        <v>1.05</v>
      </c>
      <c r="H568">
        <v>5506</v>
      </c>
      <c r="I568">
        <v>5431572</v>
      </c>
      <c r="J568">
        <v>2.835</v>
      </c>
      <c r="K568">
        <v>10371</v>
      </c>
      <c r="L568">
        <v>5710272</v>
      </c>
      <c r="M568">
        <v>17270</v>
      </c>
      <c r="N568">
        <v>261430</v>
      </c>
      <c r="O568">
        <v>16316</v>
      </c>
      <c r="P568">
        <v>226313</v>
      </c>
      <c r="Q568">
        <v>18801</v>
      </c>
      <c r="S568">
        <v>0</v>
      </c>
      <c r="T568">
        <v>33950</v>
      </c>
      <c r="U568">
        <v>3390</v>
      </c>
      <c r="V568">
        <v>0.55979999999999996</v>
      </c>
      <c r="W568">
        <v>0.54663333329999997</v>
      </c>
      <c r="X568">
        <v>0.75286666660000001</v>
      </c>
      <c r="Z568">
        <v>10370.69</v>
      </c>
      <c r="AB568">
        <v>10372.08</v>
      </c>
      <c r="AD568">
        <v>10372.34</v>
      </c>
      <c r="AF568" t="s">
        <v>182</v>
      </c>
      <c r="AG568" t="s">
        <v>185</v>
      </c>
      <c r="AI568" t="s">
        <v>186</v>
      </c>
      <c r="AJ568" t="s">
        <v>1878</v>
      </c>
      <c r="AK568" t="s">
        <v>188</v>
      </c>
    </row>
    <row r="569" spans="1:37" x14ac:dyDescent="0.3">
      <c r="A569">
        <v>8008</v>
      </c>
      <c r="B569" s="207">
        <v>46121</v>
      </c>
      <c r="C569" t="s">
        <v>438</v>
      </c>
      <c r="D569" t="s">
        <v>1879</v>
      </c>
      <c r="E569" t="s">
        <v>1880</v>
      </c>
      <c r="F569" s="207">
        <v>46356</v>
      </c>
      <c r="G569">
        <v>1.05</v>
      </c>
      <c r="H569">
        <v>3931</v>
      </c>
      <c r="I569">
        <v>3871951</v>
      </c>
      <c r="J569">
        <v>2.8540000000000001</v>
      </c>
      <c r="K569">
        <v>10346</v>
      </c>
      <c r="L569">
        <v>4067012</v>
      </c>
      <c r="M569">
        <v>11947</v>
      </c>
      <c r="N569">
        <v>183114</v>
      </c>
      <c r="O569">
        <v>11639</v>
      </c>
      <c r="P569">
        <v>65860</v>
      </c>
      <c r="Q569">
        <v>105615</v>
      </c>
      <c r="S569">
        <v>0</v>
      </c>
      <c r="T569">
        <v>10840</v>
      </c>
      <c r="U569">
        <v>1080</v>
      </c>
      <c r="V569">
        <v>0.64200000000000002</v>
      </c>
      <c r="W569">
        <v>0.62626666659999997</v>
      </c>
      <c r="X569">
        <v>0.92920000000000003</v>
      </c>
      <c r="Z569">
        <v>10346.290000000001</v>
      </c>
      <c r="AB569">
        <v>10347.15</v>
      </c>
      <c r="AD569">
        <v>10346.75</v>
      </c>
      <c r="AF569" t="s">
        <v>182</v>
      </c>
      <c r="AG569" t="s">
        <v>185</v>
      </c>
      <c r="AI569" t="s">
        <v>186</v>
      </c>
      <c r="AJ569" t="s">
        <v>1881</v>
      </c>
      <c r="AK569" t="s">
        <v>188</v>
      </c>
    </row>
    <row r="570" spans="1:37" x14ac:dyDescent="0.3">
      <c r="A570">
        <v>8008</v>
      </c>
      <c r="B570" s="207">
        <v>46121</v>
      </c>
      <c r="C570" t="s">
        <v>438</v>
      </c>
      <c r="D570" t="s">
        <v>1882</v>
      </c>
      <c r="E570" t="s">
        <v>1883</v>
      </c>
      <c r="F570" s="207">
        <v>46418</v>
      </c>
      <c r="G570">
        <v>1.05</v>
      </c>
      <c r="H570">
        <v>16513</v>
      </c>
      <c r="I570">
        <v>16101900</v>
      </c>
      <c r="J570">
        <v>2.915</v>
      </c>
      <c r="K570">
        <v>10292</v>
      </c>
      <c r="L570">
        <v>16995179</v>
      </c>
      <c r="M570">
        <v>154702</v>
      </c>
      <c r="N570">
        <v>738577</v>
      </c>
      <c r="O570">
        <v>36271</v>
      </c>
      <c r="P570">
        <v>472683</v>
      </c>
      <c r="Q570">
        <v>229623</v>
      </c>
      <c r="S570">
        <v>0</v>
      </c>
      <c r="T570">
        <v>71240</v>
      </c>
      <c r="U570">
        <v>7120</v>
      </c>
      <c r="V570">
        <v>0.81189999999999996</v>
      </c>
      <c r="W570">
        <v>0.7903</v>
      </c>
      <c r="X570">
        <v>1.3450666666</v>
      </c>
      <c r="Z570">
        <v>10292.44</v>
      </c>
      <c r="AB570">
        <v>10293.469999999999</v>
      </c>
      <c r="AD570">
        <v>10292.27</v>
      </c>
      <c r="AF570" t="s">
        <v>182</v>
      </c>
      <c r="AG570" t="s">
        <v>185</v>
      </c>
      <c r="AI570" t="s">
        <v>186</v>
      </c>
      <c r="AJ570" t="s">
        <v>1884</v>
      </c>
      <c r="AK570" t="s">
        <v>188</v>
      </c>
    </row>
    <row r="571" spans="1:37" x14ac:dyDescent="0.3">
      <c r="A571">
        <v>8008</v>
      </c>
      <c r="B571" s="207">
        <v>46121</v>
      </c>
      <c r="C571" t="s">
        <v>438</v>
      </c>
      <c r="D571" t="s">
        <v>1885</v>
      </c>
      <c r="E571" t="s">
        <v>1886</v>
      </c>
      <c r="F571" s="207">
        <v>46477</v>
      </c>
      <c r="G571">
        <v>1.05</v>
      </c>
      <c r="H571">
        <v>9</v>
      </c>
      <c r="I571">
        <v>8808</v>
      </c>
      <c r="J571">
        <v>2.9889999999999999</v>
      </c>
      <c r="K571">
        <v>10238</v>
      </c>
      <c r="L571">
        <v>9214</v>
      </c>
      <c r="M571">
        <v>20</v>
      </c>
      <c r="N571">
        <v>386</v>
      </c>
      <c r="O571">
        <v>25</v>
      </c>
      <c r="P571">
        <v>199</v>
      </c>
      <c r="Q571">
        <v>162</v>
      </c>
      <c r="S571">
        <v>0</v>
      </c>
      <c r="T571">
        <v>30</v>
      </c>
      <c r="U571">
        <v>0</v>
      </c>
      <c r="V571">
        <v>0.97350000000000003</v>
      </c>
      <c r="W571">
        <v>0.94550000000000001</v>
      </c>
      <c r="X571">
        <v>1.8039000000000001</v>
      </c>
      <c r="Z571">
        <v>10239.23</v>
      </c>
      <c r="AB571">
        <v>10237.719999999999</v>
      </c>
      <c r="AD571">
        <v>10238.06</v>
      </c>
      <c r="AF571" t="s">
        <v>182</v>
      </c>
      <c r="AG571" t="s">
        <v>185</v>
      </c>
      <c r="AI571" t="s">
        <v>186</v>
      </c>
      <c r="AJ571" t="s">
        <v>1887</v>
      </c>
      <c r="AK571" t="s">
        <v>188</v>
      </c>
    </row>
    <row r="572" spans="1:37" x14ac:dyDescent="0.3">
      <c r="A572">
        <v>8008</v>
      </c>
      <c r="B572" s="207">
        <v>46121</v>
      </c>
      <c r="C572" t="s">
        <v>438</v>
      </c>
      <c r="D572" t="s">
        <v>1888</v>
      </c>
      <c r="E572" t="s">
        <v>1889</v>
      </c>
      <c r="F572" s="207">
        <v>46507</v>
      </c>
      <c r="G572">
        <v>1.05</v>
      </c>
      <c r="H572">
        <v>16470</v>
      </c>
      <c r="I572">
        <v>16089190</v>
      </c>
      <c r="J572">
        <v>3.02</v>
      </c>
      <c r="K572">
        <v>10210</v>
      </c>
      <c r="L572">
        <v>16815870</v>
      </c>
      <c r="M572">
        <v>33795</v>
      </c>
      <c r="N572">
        <v>692885</v>
      </c>
      <c r="O572">
        <v>48555</v>
      </c>
      <c r="P572">
        <v>526076</v>
      </c>
      <c r="Q572">
        <v>118254</v>
      </c>
      <c r="S572">
        <v>0</v>
      </c>
      <c r="T572">
        <v>80440</v>
      </c>
      <c r="U572">
        <v>8040</v>
      </c>
      <c r="V572">
        <v>1.0557000000000001</v>
      </c>
      <c r="W572">
        <v>1.0252666666000001</v>
      </c>
      <c r="X572">
        <v>2.0296666665999998</v>
      </c>
      <c r="Z572">
        <v>10210.969999999999</v>
      </c>
      <c r="AB572">
        <v>10209.64</v>
      </c>
      <c r="AD572">
        <v>10210.030000000001</v>
      </c>
      <c r="AF572" t="s">
        <v>182</v>
      </c>
      <c r="AG572" t="s">
        <v>185</v>
      </c>
      <c r="AI572" t="s">
        <v>186</v>
      </c>
      <c r="AJ572" t="s">
        <v>1890</v>
      </c>
      <c r="AK572" t="s">
        <v>188</v>
      </c>
    </row>
    <row r="573" spans="1:37" x14ac:dyDescent="0.3">
      <c r="A573">
        <v>8008</v>
      </c>
      <c r="B573" s="207">
        <v>46121</v>
      </c>
      <c r="C573" t="s">
        <v>438</v>
      </c>
      <c r="D573" t="s">
        <v>1891</v>
      </c>
      <c r="E573" t="s">
        <v>1892</v>
      </c>
      <c r="F573" s="207">
        <v>46630</v>
      </c>
      <c r="G573">
        <v>1.05</v>
      </c>
      <c r="H573">
        <v>4</v>
      </c>
      <c r="I573">
        <v>3880</v>
      </c>
      <c r="J573">
        <v>3.1349999999999998</v>
      </c>
      <c r="K573">
        <v>10091</v>
      </c>
      <c r="L573">
        <v>4036</v>
      </c>
      <c r="M573">
        <v>3</v>
      </c>
      <c r="N573">
        <v>153</v>
      </c>
      <c r="O573">
        <v>81</v>
      </c>
      <c r="P573">
        <v>0</v>
      </c>
      <c r="Q573">
        <v>72</v>
      </c>
      <c r="S573">
        <v>0</v>
      </c>
      <c r="T573">
        <v>10</v>
      </c>
      <c r="U573">
        <v>0</v>
      </c>
      <c r="V573">
        <v>1.3927</v>
      </c>
      <c r="W573">
        <v>1.3527333333</v>
      </c>
      <c r="X573">
        <v>3.0663666666</v>
      </c>
      <c r="Z573">
        <v>10090.549999999999</v>
      </c>
      <c r="AB573">
        <v>10093.290000000001</v>
      </c>
      <c r="AD573">
        <v>10091.64</v>
      </c>
      <c r="AF573" t="s">
        <v>182</v>
      </c>
      <c r="AG573" t="s">
        <v>185</v>
      </c>
      <c r="AI573" t="s">
        <v>186</v>
      </c>
      <c r="AJ573" t="s">
        <v>1893</v>
      </c>
      <c r="AK573" t="s">
        <v>188</v>
      </c>
    </row>
    <row r="574" spans="1:37" x14ac:dyDescent="0.3">
      <c r="A574">
        <v>8008</v>
      </c>
      <c r="B574" s="207">
        <v>46121</v>
      </c>
      <c r="C574" t="s">
        <v>438</v>
      </c>
      <c r="D574" t="s">
        <v>1894</v>
      </c>
      <c r="E574" t="s">
        <v>1895</v>
      </c>
      <c r="F574" s="207">
        <v>46752</v>
      </c>
      <c r="G574">
        <v>1.05</v>
      </c>
      <c r="H574">
        <v>87508</v>
      </c>
      <c r="I574">
        <v>84255606</v>
      </c>
      <c r="J574">
        <v>3.2290000000000001</v>
      </c>
      <c r="K574">
        <v>9972</v>
      </c>
      <c r="L574">
        <v>87262977</v>
      </c>
      <c r="M574">
        <v>-36938</v>
      </c>
      <c r="N574">
        <v>3044309</v>
      </c>
      <c r="O574">
        <v>256164</v>
      </c>
      <c r="P574">
        <v>1347734</v>
      </c>
      <c r="Q574">
        <v>1440411</v>
      </c>
      <c r="S574">
        <v>0</v>
      </c>
      <c r="T574">
        <v>224540</v>
      </c>
      <c r="U574">
        <v>22450</v>
      </c>
      <c r="V574">
        <v>1.7269333333000001</v>
      </c>
      <c r="W574">
        <v>1.6749333333</v>
      </c>
      <c r="X574">
        <v>4.3666333333000003</v>
      </c>
      <c r="Z574">
        <v>9970.1299999999992</v>
      </c>
      <c r="AB574">
        <v>9975.7800000000007</v>
      </c>
      <c r="AD574">
        <v>9972.1299999999992</v>
      </c>
      <c r="AF574" t="s">
        <v>182</v>
      </c>
      <c r="AG574" t="s">
        <v>185</v>
      </c>
      <c r="AI574" t="s">
        <v>186</v>
      </c>
      <c r="AJ574" t="s">
        <v>1896</v>
      </c>
      <c r="AK574" t="s">
        <v>188</v>
      </c>
    </row>
    <row r="575" spans="1:37" x14ac:dyDescent="0.3">
      <c r="A575">
        <v>8008</v>
      </c>
      <c r="B575" s="207">
        <v>46121</v>
      </c>
      <c r="C575" t="s">
        <v>438</v>
      </c>
      <c r="D575" t="s">
        <v>1897</v>
      </c>
      <c r="E575" t="s">
        <v>1898</v>
      </c>
      <c r="F575" s="207">
        <v>46873</v>
      </c>
      <c r="G575">
        <v>2.5</v>
      </c>
      <c r="H575">
        <v>2615</v>
      </c>
      <c r="I575">
        <v>2582166</v>
      </c>
      <c r="J575">
        <v>3.3050000000000002</v>
      </c>
      <c r="K575">
        <v>10582</v>
      </c>
      <c r="L575">
        <v>2767192</v>
      </c>
      <c r="M575">
        <v>-12234</v>
      </c>
      <c r="N575">
        <v>197260</v>
      </c>
      <c r="O575">
        <v>18772</v>
      </c>
      <c r="P575">
        <v>138698</v>
      </c>
      <c r="Q575">
        <v>39790</v>
      </c>
      <c r="S575">
        <v>0</v>
      </c>
      <c r="T575">
        <v>22040</v>
      </c>
      <c r="U575">
        <v>2200</v>
      </c>
      <c r="V575">
        <v>2.0566</v>
      </c>
      <c r="W575">
        <v>1.9904999999999999</v>
      </c>
      <c r="X575">
        <v>5.8721666666000001</v>
      </c>
      <c r="Z575">
        <v>10579.74</v>
      </c>
      <c r="AB575">
        <v>10586.56</v>
      </c>
      <c r="AD575">
        <v>10581.01</v>
      </c>
      <c r="AF575" t="s">
        <v>182</v>
      </c>
      <c r="AG575" t="s">
        <v>185</v>
      </c>
      <c r="AI575" t="s">
        <v>186</v>
      </c>
      <c r="AJ575" t="s">
        <v>1899</v>
      </c>
      <c r="AK575" t="s">
        <v>188</v>
      </c>
    </row>
    <row r="576" spans="1:37" x14ac:dyDescent="0.3">
      <c r="A576">
        <v>8008</v>
      </c>
      <c r="B576" s="207">
        <v>46121</v>
      </c>
      <c r="C576" t="s">
        <v>438</v>
      </c>
      <c r="D576" t="s">
        <v>1900</v>
      </c>
      <c r="E576" t="s">
        <v>1901</v>
      </c>
      <c r="F576" s="207">
        <v>46904</v>
      </c>
      <c r="G576">
        <v>2.5</v>
      </c>
      <c r="H576">
        <v>11117</v>
      </c>
      <c r="I576">
        <v>10965609</v>
      </c>
      <c r="J576">
        <v>3.3180000000000001</v>
      </c>
      <c r="K576">
        <v>10550</v>
      </c>
      <c r="L576">
        <v>11728435</v>
      </c>
      <c r="M576">
        <v>-50731</v>
      </c>
      <c r="N576">
        <v>813557</v>
      </c>
      <c r="O576">
        <v>79638</v>
      </c>
      <c r="P576">
        <v>569763</v>
      </c>
      <c r="Q576">
        <v>164156</v>
      </c>
      <c r="S576">
        <v>0</v>
      </c>
      <c r="T576">
        <v>90900</v>
      </c>
      <c r="U576">
        <v>9070</v>
      </c>
      <c r="V576">
        <v>2.1415666666000002</v>
      </c>
      <c r="W576">
        <v>2.0731666666000002</v>
      </c>
      <c r="X576">
        <v>6.2661666666000002</v>
      </c>
      <c r="Z576">
        <v>10547.66</v>
      </c>
      <c r="AB576">
        <v>10554.08</v>
      </c>
      <c r="AD576">
        <v>10548.53</v>
      </c>
      <c r="AF576" t="s">
        <v>182</v>
      </c>
      <c r="AG576" t="s">
        <v>185</v>
      </c>
      <c r="AI576" t="s">
        <v>186</v>
      </c>
      <c r="AJ576" t="s">
        <v>1902</v>
      </c>
      <c r="AK576" t="s">
        <v>188</v>
      </c>
    </row>
    <row r="577" spans="1:37" x14ac:dyDescent="0.3">
      <c r="A577">
        <v>8008</v>
      </c>
      <c r="B577" s="207">
        <v>46121</v>
      </c>
      <c r="C577" t="s">
        <v>438</v>
      </c>
      <c r="D577" t="s">
        <v>1903</v>
      </c>
      <c r="E577" t="s">
        <v>1904</v>
      </c>
      <c r="F577" s="207">
        <v>46965</v>
      </c>
      <c r="G577">
        <v>2.5</v>
      </c>
      <c r="H577">
        <v>9467</v>
      </c>
      <c r="I577">
        <v>9319997</v>
      </c>
      <c r="J577">
        <v>3.3410000000000002</v>
      </c>
      <c r="K577">
        <v>10486</v>
      </c>
      <c r="L577">
        <v>9927096</v>
      </c>
      <c r="M577">
        <v>-43870</v>
      </c>
      <c r="N577">
        <v>650969</v>
      </c>
      <c r="O577">
        <v>67538</v>
      </c>
      <c r="P577">
        <v>563610</v>
      </c>
      <c r="Q577">
        <v>19821</v>
      </c>
      <c r="S577">
        <v>0</v>
      </c>
      <c r="T577">
        <v>88360</v>
      </c>
      <c r="U577">
        <v>8830</v>
      </c>
      <c r="V577">
        <v>2.3086666666000002</v>
      </c>
      <c r="W577">
        <v>2.2354333333</v>
      </c>
      <c r="X577">
        <v>7.0929333333000004</v>
      </c>
      <c r="Z577">
        <v>10485.34</v>
      </c>
      <c r="AB577">
        <v>10490.35</v>
      </c>
      <c r="AD577">
        <v>10484.4</v>
      </c>
      <c r="AF577" t="s">
        <v>182</v>
      </c>
      <c r="AG577" t="s">
        <v>185</v>
      </c>
      <c r="AI577" t="s">
        <v>186</v>
      </c>
      <c r="AJ577" t="s">
        <v>1905</v>
      </c>
      <c r="AK577" t="s">
        <v>188</v>
      </c>
    </row>
    <row r="578" spans="1:37" x14ac:dyDescent="0.3">
      <c r="A578">
        <v>8008</v>
      </c>
      <c r="B578" s="207">
        <v>46121</v>
      </c>
      <c r="C578" t="s">
        <v>438</v>
      </c>
      <c r="D578" t="s">
        <v>1906</v>
      </c>
      <c r="E578" t="s">
        <v>1907</v>
      </c>
      <c r="F578" s="207">
        <v>46996</v>
      </c>
      <c r="G578">
        <v>2.5</v>
      </c>
      <c r="H578">
        <v>23252</v>
      </c>
      <c r="I578">
        <v>22868253</v>
      </c>
      <c r="J578">
        <v>3.355</v>
      </c>
      <c r="K578">
        <v>10454</v>
      </c>
      <c r="L578">
        <v>24307640</v>
      </c>
      <c r="M578">
        <v>-107403</v>
      </c>
      <c r="N578">
        <v>1546790</v>
      </c>
      <c r="O578">
        <v>165533</v>
      </c>
      <c r="P578">
        <v>215571</v>
      </c>
      <c r="Q578">
        <v>1165686</v>
      </c>
      <c r="S578">
        <v>0</v>
      </c>
      <c r="T578">
        <v>53340</v>
      </c>
      <c r="U578">
        <v>5330</v>
      </c>
      <c r="V578">
        <v>2.3936000000000002</v>
      </c>
      <c r="W578">
        <v>2.3175666665999999</v>
      </c>
      <c r="X578">
        <v>7.5385333333000002</v>
      </c>
      <c r="Z578">
        <v>10452.52</v>
      </c>
      <c r="AB578">
        <v>10457.700000000001</v>
      </c>
      <c r="AD578">
        <v>10451.799999999999</v>
      </c>
      <c r="AF578" t="s">
        <v>182</v>
      </c>
      <c r="AG578" t="s">
        <v>185</v>
      </c>
      <c r="AI578" t="s">
        <v>186</v>
      </c>
      <c r="AJ578" t="s">
        <v>1908</v>
      </c>
      <c r="AK578" t="s">
        <v>188</v>
      </c>
    </row>
    <row r="579" spans="1:37" x14ac:dyDescent="0.3">
      <c r="A579">
        <v>8008</v>
      </c>
      <c r="B579" s="207">
        <v>46121</v>
      </c>
      <c r="C579" t="s">
        <v>438</v>
      </c>
      <c r="D579" t="s">
        <v>1909</v>
      </c>
      <c r="E579" t="s">
        <v>1910</v>
      </c>
      <c r="F579" s="207">
        <v>47026</v>
      </c>
      <c r="G579">
        <v>2.5</v>
      </c>
      <c r="H579">
        <v>74492</v>
      </c>
      <c r="I579">
        <v>73184228</v>
      </c>
      <c r="J579">
        <v>3.3679999999999999</v>
      </c>
      <c r="K579">
        <v>10422</v>
      </c>
      <c r="L579">
        <v>77635560</v>
      </c>
      <c r="M579">
        <v>-343013</v>
      </c>
      <c r="N579">
        <v>4794345</v>
      </c>
      <c r="O579">
        <v>529243</v>
      </c>
      <c r="P579">
        <v>4021320</v>
      </c>
      <c r="Q579">
        <v>243782</v>
      </c>
      <c r="S579">
        <v>0</v>
      </c>
      <c r="T579">
        <v>637050</v>
      </c>
      <c r="U579">
        <v>63680</v>
      </c>
      <c r="V579">
        <v>2.4758</v>
      </c>
      <c r="W579">
        <v>2.3969333332999998</v>
      </c>
      <c r="X579">
        <v>7.9860333333</v>
      </c>
      <c r="Z579">
        <v>10420.85</v>
      </c>
      <c r="AB579">
        <v>10426.18</v>
      </c>
      <c r="AD579">
        <v>10420.1</v>
      </c>
      <c r="AF579" t="s">
        <v>182</v>
      </c>
      <c r="AG579" t="s">
        <v>185</v>
      </c>
      <c r="AI579" t="s">
        <v>186</v>
      </c>
      <c r="AJ579" t="s">
        <v>1911</v>
      </c>
      <c r="AK579" t="s">
        <v>188</v>
      </c>
    </row>
    <row r="580" spans="1:37" x14ac:dyDescent="0.3">
      <c r="A580">
        <v>8008</v>
      </c>
      <c r="B580" s="207">
        <v>46121</v>
      </c>
      <c r="C580" t="s">
        <v>438</v>
      </c>
      <c r="D580" t="s">
        <v>1912</v>
      </c>
      <c r="E580" t="s">
        <v>1913</v>
      </c>
      <c r="F580" s="207">
        <v>47057</v>
      </c>
      <c r="G580">
        <v>2.5</v>
      </c>
      <c r="H580">
        <v>2099</v>
      </c>
      <c r="I580">
        <v>2060083</v>
      </c>
      <c r="J580">
        <v>3.3929999999999998</v>
      </c>
      <c r="K580">
        <v>10386</v>
      </c>
      <c r="L580">
        <v>2180021</v>
      </c>
      <c r="M580">
        <v>-10473</v>
      </c>
      <c r="N580">
        <v>130411</v>
      </c>
      <c r="O580">
        <v>14881</v>
      </c>
      <c r="P580">
        <v>39249</v>
      </c>
      <c r="Q580">
        <v>76281</v>
      </c>
      <c r="S580">
        <v>0</v>
      </c>
      <c r="T580">
        <v>7570</v>
      </c>
      <c r="U580">
        <v>750</v>
      </c>
      <c r="V580">
        <v>2.5607000000000002</v>
      </c>
      <c r="W580">
        <v>2.4784666666000001</v>
      </c>
      <c r="X580">
        <v>8.4631333333000001</v>
      </c>
      <c r="Z580">
        <v>10385.35</v>
      </c>
      <c r="AB580">
        <v>10390.07</v>
      </c>
      <c r="AD580">
        <v>10384.06</v>
      </c>
      <c r="AF580" t="s">
        <v>182</v>
      </c>
      <c r="AG580" t="s">
        <v>185</v>
      </c>
      <c r="AI580" t="s">
        <v>186</v>
      </c>
      <c r="AJ580" t="s">
        <v>1914</v>
      </c>
      <c r="AK580" t="s">
        <v>188</v>
      </c>
    </row>
    <row r="581" spans="1:37" x14ac:dyDescent="0.3">
      <c r="A581">
        <v>8008</v>
      </c>
      <c r="B581" s="207">
        <v>46121</v>
      </c>
      <c r="C581" t="s">
        <v>438</v>
      </c>
      <c r="D581" t="s">
        <v>1915</v>
      </c>
      <c r="E581" t="s">
        <v>1916</v>
      </c>
      <c r="F581" s="207">
        <v>47087</v>
      </c>
      <c r="G581">
        <v>2.5</v>
      </c>
      <c r="H581">
        <v>112444</v>
      </c>
      <c r="I581">
        <v>110239886</v>
      </c>
      <c r="J581">
        <v>3.4239999999999999</v>
      </c>
      <c r="K581">
        <v>10350</v>
      </c>
      <c r="L581">
        <v>116379540</v>
      </c>
      <c r="M581">
        <v>-604431</v>
      </c>
      <c r="N581">
        <v>6744085</v>
      </c>
      <c r="O581">
        <v>795588</v>
      </c>
      <c r="P581">
        <v>2003889</v>
      </c>
      <c r="Q581">
        <v>3944608</v>
      </c>
      <c r="S581">
        <v>0</v>
      </c>
      <c r="T581">
        <v>391880</v>
      </c>
      <c r="U581">
        <v>39160</v>
      </c>
      <c r="V581">
        <v>2.6429</v>
      </c>
      <c r="W581">
        <v>2.5570333333000002</v>
      </c>
      <c r="X581">
        <v>8.9396666666000009</v>
      </c>
      <c r="Z581">
        <v>10348.48</v>
      </c>
      <c r="AB581">
        <v>10353.59</v>
      </c>
      <c r="AD581">
        <v>10348.209999999999</v>
      </c>
      <c r="AF581" t="s">
        <v>182</v>
      </c>
      <c r="AG581" t="s">
        <v>185</v>
      </c>
      <c r="AI581" t="s">
        <v>186</v>
      </c>
      <c r="AJ581" t="s">
        <v>1917</v>
      </c>
      <c r="AK581" t="s">
        <v>188</v>
      </c>
    </row>
    <row r="582" spans="1:37" x14ac:dyDescent="0.3">
      <c r="A582">
        <v>8008</v>
      </c>
      <c r="B582" s="207">
        <v>46121</v>
      </c>
      <c r="C582" t="s">
        <v>438</v>
      </c>
      <c r="D582" t="s">
        <v>1918</v>
      </c>
      <c r="E582" t="s">
        <v>1919</v>
      </c>
      <c r="F582" s="207">
        <v>47208</v>
      </c>
      <c r="G582">
        <v>2.5</v>
      </c>
      <c r="H582">
        <v>26012</v>
      </c>
      <c r="I582">
        <v>25410649</v>
      </c>
      <c r="J582">
        <v>3.5419999999999998</v>
      </c>
      <c r="K582">
        <v>10201</v>
      </c>
      <c r="L582">
        <v>26534840</v>
      </c>
      <c r="M582">
        <v>-211159</v>
      </c>
      <c r="N582">
        <v>1335350</v>
      </c>
      <c r="O582">
        <v>182545</v>
      </c>
      <c r="P582">
        <v>1067783</v>
      </c>
      <c r="Q582">
        <v>85022</v>
      </c>
      <c r="S582">
        <v>0</v>
      </c>
      <c r="T582">
        <v>175030</v>
      </c>
      <c r="U582">
        <v>17490</v>
      </c>
      <c r="V582">
        <v>2.9744000000000002</v>
      </c>
      <c r="W582">
        <v>2.8720666665999999</v>
      </c>
      <c r="X582">
        <v>11.0145666666</v>
      </c>
      <c r="Z582">
        <v>10202.31</v>
      </c>
      <c r="AB582">
        <v>10202.379999999999</v>
      </c>
      <c r="AD582">
        <v>10199.969999999999</v>
      </c>
      <c r="AF582" t="s">
        <v>182</v>
      </c>
      <c r="AG582" t="s">
        <v>185</v>
      </c>
      <c r="AI582" t="s">
        <v>186</v>
      </c>
      <c r="AJ582" t="s">
        <v>1920</v>
      </c>
      <c r="AK582" t="s">
        <v>188</v>
      </c>
    </row>
    <row r="583" spans="1:37" x14ac:dyDescent="0.3">
      <c r="A583">
        <v>8008</v>
      </c>
      <c r="B583" s="207">
        <v>46121</v>
      </c>
      <c r="C583" t="s">
        <v>438</v>
      </c>
      <c r="D583" t="s">
        <v>1921</v>
      </c>
      <c r="E583" t="s">
        <v>1922</v>
      </c>
      <c r="F583" s="207">
        <v>47238</v>
      </c>
      <c r="G583">
        <v>2.5</v>
      </c>
      <c r="H583">
        <v>2000</v>
      </c>
      <c r="I583">
        <v>1952199</v>
      </c>
      <c r="J583">
        <v>3.552</v>
      </c>
      <c r="K583">
        <v>10169</v>
      </c>
      <c r="L583">
        <v>2033800</v>
      </c>
      <c r="M583">
        <v>-16807</v>
      </c>
      <c r="N583">
        <v>98408</v>
      </c>
      <c r="O583">
        <v>14007</v>
      </c>
      <c r="P583">
        <v>37173</v>
      </c>
      <c r="Q583">
        <v>47228</v>
      </c>
      <c r="S583">
        <v>0</v>
      </c>
      <c r="T583">
        <v>7160</v>
      </c>
      <c r="U583">
        <v>710</v>
      </c>
      <c r="V583">
        <v>3.0566</v>
      </c>
      <c r="W583">
        <v>2.9514999999999998</v>
      </c>
      <c r="X583">
        <v>11.544766666599999</v>
      </c>
      <c r="Z583">
        <v>10169.42</v>
      </c>
      <c r="AB583">
        <v>10170.39</v>
      </c>
      <c r="AD583">
        <v>10167.92</v>
      </c>
      <c r="AF583" t="s">
        <v>182</v>
      </c>
      <c r="AG583" t="s">
        <v>185</v>
      </c>
      <c r="AI583" t="s">
        <v>186</v>
      </c>
      <c r="AJ583" t="s">
        <v>1923</v>
      </c>
      <c r="AK583" t="s">
        <v>188</v>
      </c>
    </row>
    <row r="584" spans="1:37" x14ac:dyDescent="0.3">
      <c r="A584">
        <v>8008</v>
      </c>
      <c r="B584" s="207">
        <v>46121</v>
      </c>
      <c r="C584" t="s">
        <v>438</v>
      </c>
      <c r="D584" t="s">
        <v>1924</v>
      </c>
      <c r="E584" t="s">
        <v>1925</v>
      </c>
      <c r="F584" s="207">
        <v>47269</v>
      </c>
      <c r="G584">
        <v>2.5</v>
      </c>
      <c r="H584">
        <v>14563</v>
      </c>
      <c r="I584">
        <v>14201582</v>
      </c>
      <c r="J584">
        <v>3.5539999999999998</v>
      </c>
      <c r="K584">
        <v>10138</v>
      </c>
      <c r="L584">
        <v>14763967</v>
      </c>
      <c r="M584">
        <v>-122166</v>
      </c>
      <c r="N584">
        <v>684551</v>
      </c>
      <c r="O584">
        <v>101777</v>
      </c>
      <c r="P584">
        <v>491333</v>
      </c>
      <c r="Q584">
        <v>91441</v>
      </c>
      <c r="S584">
        <v>0</v>
      </c>
      <c r="T584">
        <v>83020</v>
      </c>
      <c r="U584">
        <v>8270</v>
      </c>
      <c r="V584">
        <v>3.1415666666000002</v>
      </c>
      <c r="W584">
        <v>3.0341999999999998</v>
      </c>
      <c r="X584">
        <v>12.098100000000001</v>
      </c>
      <c r="Z584">
        <v>10137.969999999999</v>
      </c>
      <c r="AB584">
        <v>10139.58</v>
      </c>
      <c r="AD584">
        <v>10136.73</v>
      </c>
      <c r="AF584" t="s">
        <v>182</v>
      </c>
      <c r="AG584" t="s">
        <v>185</v>
      </c>
      <c r="AI584" t="s">
        <v>186</v>
      </c>
      <c r="AJ584" t="s">
        <v>1926</v>
      </c>
      <c r="AK584" t="s">
        <v>188</v>
      </c>
    </row>
    <row r="585" spans="1:37" x14ac:dyDescent="0.3">
      <c r="A585">
        <v>8008</v>
      </c>
      <c r="B585" s="207">
        <v>46121</v>
      </c>
      <c r="C585" t="s">
        <v>438</v>
      </c>
      <c r="D585" t="s">
        <v>1927</v>
      </c>
      <c r="E585" t="s">
        <v>1928</v>
      </c>
      <c r="F585" s="207">
        <v>47330</v>
      </c>
      <c r="G585">
        <v>2.5</v>
      </c>
      <c r="H585">
        <v>7</v>
      </c>
      <c r="I585">
        <v>6815</v>
      </c>
      <c r="J585">
        <v>3.5590000000000002</v>
      </c>
      <c r="K585">
        <v>10077</v>
      </c>
      <c r="L585">
        <v>7053</v>
      </c>
      <c r="M585">
        <v>-60</v>
      </c>
      <c r="N585">
        <v>298</v>
      </c>
      <c r="O585">
        <v>224</v>
      </c>
      <c r="P585">
        <v>0</v>
      </c>
      <c r="Q585">
        <v>74</v>
      </c>
      <c r="S585">
        <v>0</v>
      </c>
      <c r="T585">
        <v>30</v>
      </c>
      <c r="U585">
        <v>0</v>
      </c>
      <c r="V585">
        <v>3.3086666666000002</v>
      </c>
      <c r="W585">
        <v>3.1964999999999999</v>
      </c>
      <c r="X585">
        <v>13.2372</v>
      </c>
      <c r="Z585">
        <v>10076.129999999999</v>
      </c>
      <c r="AB585">
        <v>10079.75</v>
      </c>
      <c r="AD585">
        <v>10075.48</v>
      </c>
      <c r="AF585" t="s">
        <v>182</v>
      </c>
      <c r="AG585" t="s">
        <v>185</v>
      </c>
      <c r="AI585" t="s">
        <v>186</v>
      </c>
      <c r="AJ585" t="s">
        <v>1929</v>
      </c>
      <c r="AK585" t="s">
        <v>188</v>
      </c>
    </row>
    <row r="586" spans="1:37" x14ac:dyDescent="0.3">
      <c r="A586">
        <v>8008</v>
      </c>
      <c r="B586" s="207">
        <v>46121</v>
      </c>
      <c r="C586" t="s">
        <v>438</v>
      </c>
      <c r="D586" t="s">
        <v>1930</v>
      </c>
      <c r="E586" t="s">
        <v>1931</v>
      </c>
      <c r="F586" s="207">
        <v>47361</v>
      </c>
      <c r="G586">
        <v>2.5</v>
      </c>
      <c r="H586">
        <v>45766</v>
      </c>
      <c r="I586">
        <v>44105468</v>
      </c>
      <c r="J586">
        <v>3.5609999999999999</v>
      </c>
      <c r="K586">
        <v>10046</v>
      </c>
      <c r="L586">
        <v>45976523</v>
      </c>
      <c r="M586">
        <v>17068</v>
      </c>
      <c r="N586">
        <v>1853987</v>
      </c>
      <c r="O586">
        <v>204283</v>
      </c>
      <c r="P586">
        <v>493637</v>
      </c>
      <c r="Q586">
        <v>1156067</v>
      </c>
      <c r="S586">
        <v>0</v>
      </c>
      <c r="T586">
        <v>97700</v>
      </c>
      <c r="U586">
        <v>9760</v>
      </c>
      <c r="V586">
        <v>3.3936000000000002</v>
      </c>
      <c r="W586">
        <v>3.2787333332999999</v>
      </c>
      <c r="X586">
        <v>13.8414</v>
      </c>
      <c r="Z586">
        <v>10045.07</v>
      </c>
      <c r="AB586">
        <v>10049.43</v>
      </c>
      <c r="AD586">
        <v>10044.74</v>
      </c>
      <c r="AF586" t="s">
        <v>182</v>
      </c>
      <c r="AG586" t="s">
        <v>185</v>
      </c>
      <c r="AI586" t="s">
        <v>186</v>
      </c>
      <c r="AJ586" t="s">
        <v>1932</v>
      </c>
      <c r="AK586" t="s">
        <v>188</v>
      </c>
    </row>
    <row r="587" spans="1:37" x14ac:dyDescent="0.3">
      <c r="A587">
        <v>8008</v>
      </c>
      <c r="B587" s="207">
        <v>46121</v>
      </c>
      <c r="C587" t="s">
        <v>438</v>
      </c>
      <c r="D587" t="s">
        <v>1933</v>
      </c>
      <c r="E587" t="s">
        <v>1934</v>
      </c>
      <c r="F587" s="207">
        <v>47391</v>
      </c>
      <c r="G587">
        <v>2.5</v>
      </c>
      <c r="H587">
        <v>22761</v>
      </c>
      <c r="I587">
        <v>21710215</v>
      </c>
      <c r="J587">
        <v>3.5619999999999998</v>
      </c>
      <c r="K587">
        <v>10016</v>
      </c>
      <c r="L587">
        <v>22797416</v>
      </c>
      <c r="M587">
        <v>213168</v>
      </c>
      <c r="N587">
        <v>874033</v>
      </c>
      <c r="O587">
        <v>44414</v>
      </c>
      <c r="P587">
        <v>43297</v>
      </c>
      <c r="Q587">
        <v>786322</v>
      </c>
      <c r="S587">
        <v>0</v>
      </c>
      <c r="T587">
        <v>12240</v>
      </c>
      <c r="U587">
        <v>1190</v>
      </c>
      <c r="V587">
        <v>3.4758</v>
      </c>
      <c r="W587">
        <v>3.3581333333000001</v>
      </c>
      <c r="X587">
        <v>14.4421666666</v>
      </c>
      <c r="Z587">
        <v>10015.120000000001</v>
      </c>
      <c r="AB587">
        <v>10020.58</v>
      </c>
      <c r="AD587">
        <v>10015.120000000001</v>
      </c>
      <c r="AF587" t="s">
        <v>182</v>
      </c>
      <c r="AG587" t="s">
        <v>185</v>
      </c>
      <c r="AI587" t="s">
        <v>186</v>
      </c>
      <c r="AJ587" t="s">
        <v>1935</v>
      </c>
      <c r="AK587" t="s">
        <v>188</v>
      </c>
    </row>
    <row r="588" spans="1:37" x14ac:dyDescent="0.3">
      <c r="A588">
        <v>8008</v>
      </c>
      <c r="B588" s="207">
        <v>46121</v>
      </c>
      <c r="C588" t="s">
        <v>438</v>
      </c>
      <c r="D588" t="s">
        <v>1936</v>
      </c>
      <c r="E588" t="s">
        <v>1937</v>
      </c>
      <c r="F588" s="207">
        <v>47422</v>
      </c>
      <c r="G588">
        <v>2.5</v>
      </c>
      <c r="H588">
        <v>7567</v>
      </c>
      <c r="I588">
        <v>7292883</v>
      </c>
      <c r="J588">
        <v>3.5649999999999999</v>
      </c>
      <c r="K588">
        <v>9986</v>
      </c>
      <c r="L588">
        <v>7556406</v>
      </c>
      <c r="M588">
        <v>-10591</v>
      </c>
      <c r="N588">
        <v>274114</v>
      </c>
      <c r="O588">
        <v>37522</v>
      </c>
      <c r="P588">
        <v>135287</v>
      </c>
      <c r="Q588">
        <v>101305</v>
      </c>
      <c r="S588">
        <v>0</v>
      </c>
      <c r="T588">
        <v>24190</v>
      </c>
      <c r="U588">
        <v>2410</v>
      </c>
      <c r="V588">
        <v>3.5607000000000002</v>
      </c>
      <c r="W588">
        <v>3.4400333333000002</v>
      </c>
      <c r="X588">
        <v>15.0791333333</v>
      </c>
      <c r="Z588">
        <v>9983.99</v>
      </c>
      <c r="AB588">
        <v>9990.6</v>
      </c>
      <c r="AD588">
        <v>9984.33</v>
      </c>
      <c r="AF588" t="s">
        <v>182</v>
      </c>
      <c r="AG588" t="s">
        <v>185</v>
      </c>
      <c r="AI588" t="s">
        <v>186</v>
      </c>
      <c r="AJ588" t="s">
        <v>1938</v>
      </c>
      <c r="AK588" t="s">
        <v>188</v>
      </c>
    </row>
    <row r="589" spans="1:37" x14ac:dyDescent="0.3">
      <c r="A589">
        <v>8008</v>
      </c>
      <c r="B589" s="207">
        <v>46121</v>
      </c>
      <c r="C589" t="s">
        <v>438</v>
      </c>
      <c r="D589" t="s">
        <v>1939</v>
      </c>
      <c r="E589" t="s">
        <v>1940</v>
      </c>
      <c r="F589" s="207">
        <v>47483</v>
      </c>
      <c r="G589">
        <v>2.5</v>
      </c>
      <c r="H589">
        <v>87209</v>
      </c>
      <c r="I589">
        <v>84516916</v>
      </c>
      <c r="J589">
        <v>3.57</v>
      </c>
      <c r="K589">
        <v>9926</v>
      </c>
      <c r="L589">
        <v>86563652</v>
      </c>
      <c r="M589">
        <v>-740265</v>
      </c>
      <c r="N589">
        <v>2787001</v>
      </c>
      <c r="O589">
        <v>600730</v>
      </c>
      <c r="P589">
        <v>1482859</v>
      </c>
      <c r="Q589">
        <v>703412</v>
      </c>
      <c r="S589">
        <v>0</v>
      </c>
      <c r="T589">
        <v>291690</v>
      </c>
      <c r="U589">
        <v>29150</v>
      </c>
      <c r="V589">
        <v>3.7278666666000002</v>
      </c>
      <c r="W589">
        <v>3.6006666666</v>
      </c>
      <c r="X589">
        <v>16.380533333300001</v>
      </c>
      <c r="Z589">
        <v>9921.9599999999991</v>
      </c>
      <c r="AB589">
        <v>9932.41</v>
      </c>
      <c r="AD589">
        <v>9924.82</v>
      </c>
      <c r="AF589" t="s">
        <v>182</v>
      </c>
      <c r="AG589" t="s">
        <v>185</v>
      </c>
      <c r="AI589" t="s">
        <v>186</v>
      </c>
      <c r="AJ589" t="s">
        <v>1941</v>
      </c>
      <c r="AK589" t="s">
        <v>188</v>
      </c>
    </row>
    <row r="590" spans="1:37" x14ac:dyDescent="0.3">
      <c r="A590">
        <v>8008</v>
      </c>
      <c r="B590" s="207">
        <v>46121</v>
      </c>
      <c r="C590" t="s">
        <v>438</v>
      </c>
      <c r="D590" t="s">
        <v>1942</v>
      </c>
      <c r="E590" t="s">
        <v>1943</v>
      </c>
      <c r="F590" s="207">
        <v>47542</v>
      </c>
      <c r="G590">
        <v>2.5</v>
      </c>
      <c r="H590">
        <v>56188</v>
      </c>
      <c r="I590">
        <v>54323344</v>
      </c>
      <c r="J590">
        <v>3.577</v>
      </c>
      <c r="K590">
        <v>9868</v>
      </c>
      <c r="L590">
        <v>55446318</v>
      </c>
      <c r="M590">
        <v>-441692</v>
      </c>
      <c r="N590">
        <v>1564666</v>
      </c>
      <c r="O590">
        <v>385504</v>
      </c>
      <c r="P590">
        <v>981153</v>
      </c>
      <c r="Q590">
        <v>198009</v>
      </c>
      <c r="S590">
        <v>0</v>
      </c>
      <c r="T590">
        <v>191330</v>
      </c>
      <c r="U590">
        <v>19130</v>
      </c>
      <c r="V590">
        <v>3.8895</v>
      </c>
      <c r="W590">
        <v>3.7553666666000001</v>
      </c>
      <c r="X590">
        <v>17.698599999999999</v>
      </c>
      <c r="Z590">
        <v>9861.08</v>
      </c>
      <c r="AB590">
        <v>9876.7199999999993</v>
      </c>
      <c r="AD590">
        <v>9867.75</v>
      </c>
      <c r="AF590" t="s">
        <v>182</v>
      </c>
      <c r="AG590" t="s">
        <v>185</v>
      </c>
      <c r="AI590" t="s">
        <v>186</v>
      </c>
      <c r="AJ590" t="s">
        <v>1944</v>
      </c>
      <c r="AK590" t="s">
        <v>188</v>
      </c>
    </row>
    <row r="591" spans="1:37" x14ac:dyDescent="0.3">
      <c r="A591">
        <v>8008</v>
      </c>
      <c r="B591" s="207">
        <v>46121</v>
      </c>
      <c r="C591" t="s">
        <v>438</v>
      </c>
      <c r="D591" t="s">
        <v>1945</v>
      </c>
      <c r="E591" t="s">
        <v>1946</v>
      </c>
      <c r="F591" s="207">
        <v>47573</v>
      </c>
      <c r="G591">
        <v>2.5</v>
      </c>
      <c r="H591">
        <v>27397</v>
      </c>
      <c r="I591">
        <v>26453254</v>
      </c>
      <c r="J591">
        <v>3.5790000000000002</v>
      </c>
      <c r="K591">
        <v>9838</v>
      </c>
      <c r="L591">
        <v>26953168</v>
      </c>
      <c r="M591">
        <v>-204013</v>
      </c>
      <c r="N591">
        <v>703927</v>
      </c>
      <c r="O591">
        <v>187575</v>
      </c>
      <c r="P591">
        <v>455780</v>
      </c>
      <c r="Q591">
        <v>60572</v>
      </c>
      <c r="S591">
        <v>0</v>
      </c>
      <c r="T591">
        <v>90060</v>
      </c>
      <c r="U591">
        <v>8990</v>
      </c>
      <c r="V591">
        <v>3.9744000000000002</v>
      </c>
      <c r="W591">
        <v>3.8365</v>
      </c>
      <c r="X591">
        <v>18.414633333299999</v>
      </c>
      <c r="Z591">
        <v>9830.84</v>
      </c>
      <c r="AB591">
        <v>9847.52</v>
      </c>
      <c r="AD591">
        <v>9837.6299999999992</v>
      </c>
      <c r="AF591" t="s">
        <v>182</v>
      </c>
      <c r="AG591" t="s">
        <v>185</v>
      </c>
      <c r="AI591" t="s">
        <v>186</v>
      </c>
      <c r="AJ591" t="s">
        <v>1947</v>
      </c>
      <c r="AK591" t="s">
        <v>188</v>
      </c>
    </row>
    <row r="592" spans="1:37" x14ac:dyDescent="0.3">
      <c r="A592">
        <v>8008</v>
      </c>
      <c r="B592" s="207">
        <v>46121</v>
      </c>
      <c r="C592" t="s">
        <v>438</v>
      </c>
      <c r="D592" t="s">
        <v>1948</v>
      </c>
      <c r="E592" t="s">
        <v>1949</v>
      </c>
      <c r="F592" s="207">
        <v>47603</v>
      </c>
      <c r="G592">
        <v>2.5</v>
      </c>
      <c r="H592">
        <v>38432</v>
      </c>
      <c r="I592">
        <v>37064535</v>
      </c>
      <c r="J592">
        <v>3.5870000000000002</v>
      </c>
      <c r="K592">
        <v>9807</v>
      </c>
      <c r="L592">
        <v>37690261</v>
      </c>
      <c r="M592">
        <v>-281809</v>
      </c>
      <c r="N592">
        <v>907535</v>
      </c>
      <c r="O592">
        <v>262593</v>
      </c>
      <c r="P592">
        <v>566088</v>
      </c>
      <c r="Q592">
        <v>78854</v>
      </c>
      <c r="S592">
        <v>0</v>
      </c>
      <c r="T592">
        <v>115990</v>
      </c>
      <c r="U592">
        <v>11590</v>
      </c>
      <c r="V592">
        <v>4.0566000000000004</v>
      </c>
      <c r="W592">
        <v>3.9158333333000002</v>
      </c>
      <c r="X592">
        <v>19.0975</v>
      </c>
      <c r="Z592">
        <v>9798.31</v>
      </c>
      <c r="AB592">
        <v>9816.0499999999993</v>
      </c>
      <c r="AD592">
        <v>9806.75</v>
      </c>
      <c r="AF592" t="s">
        <v>182</v>
      </c>
      <c r="AG592" t="s">
        <v>185</v>
      </c>
      <c r="AI592" t="s">
        <v>186</v>
      </c>
      <c r="AJ592" t="s">
        <v>1950</v>
      </c>
      <c r="AK592" t="s">
        <v>188</v>
      </c>
    </row>
    <row r="593" spans="1:37" x14ac:dyDescent="0.3">
      <c r="A593">
        <v>8008</v>
      </c>
      <c r="B593" s="207">
        <v>46121</v>
      </c>
      <c r="C593" t="s">
        <v>438</v>
      </c>
      <c r="D593" t="s">
        <v>1951</v>
      </c>
      <c r="E593" t="s">
        <v>1952</v>
      </c>
      <c r="F593" s="207">
        <v>47634</v>
      </c>
      <c r="G593">
        <v>2.5</v>
      </c>
      <c r="H593">
        <v>32616</v>
      </c>
      <c r="I593">
        <v>31351388</v>
      </c>
      <c r="J593">
        <v>3.597</v>
      </c>
      <c r="K593">
        <v>9773</v>
      </c>
      <c r="L593">
        <v>31875616</v>
      </c>
      <c r="M593">
        <v>-176025</v>
      </c>
      <c r="N593">
        <v>700253</v>
      </c>
      <c r="O593">
        <v>219357</v>
      </c>
      <c r="P593">
        <v>334093</v>
      </c>
      <c r="Q593">
        <v>146803</v>
      </c>
      <c r="S593">
        <v>0</v>
      </c>
      <c r="T593">
        <v>77470</v>
      </c>
      <c r="U593">
        <v>7740</v>
      </c>
      <c r="V593">
        <v>4.1415666666000002</v>
      </c>
      <c r="W593">
        <v>3.9982333333</v>
      </c>
      <c r="X593">
        <v>19.807133333300001</v>
      </c>
      <c r="Z593">
        <v>9764.9</v>
      </c>
      <c r="AB593">
        <v>9781.7800000000007</v>
      </c>
      <c r="AD593">
        <v>9773.89</v>
      </c>
      <c r="AF593" t="s">
        <v>182</v>
      </c>
      <c r="AG593" t="s">
        <v>185</v>
      </c>
      <c r="AI593" t="s">
        <v>186</v>
      </c>
      <c r="AJ593" t="s">
        <v>1953</v>
      </c>
      <c r="AK593" t="s">
        <v>188</v>
      </c>
    </row>
    <row r="594" spans="1:37" x14ac:dyDescent="0.3">
      <c r="A594">
        <v>8008</v>
      </c>
      <c r="B594" s="207">
        <v>46121</v>
      </c>
      <c r="C594" t="s">
        <v>438</v>
      </c>
      <c r="D594" t="s">
        <v>1954</v>
      </c>
      <c r="E594" t="s">
        <v>1955</v>
      </c>
      <c r="F594" s="207">
        <v>47664</v>
      </c>
      <c r="G594">
        <v>2.5</v>
      </c>
      <c r="H594">
        <v>53605</v>
      </c>
      <c r="I594">
        <v>51568328</v>
      </c>
      <c r="J594">
        <v>3.6059999999999999</v>
      </c>
      <c r="K594">
        <v>9741</v>
      </c>
      <c r="L594">
        <v>52216630</v>
      </c>
      <c r="M594">
        <v>-391560</v>
      </c>
      <c r="N594">
        <v>1039862</v>
      </c>
      <c r="O594">
        <v>364757</v>
      </c>
      <c r="P594">
        <v>557282</v>
      </c>
      <c r="Q594">
        <v>117823</v>
      </c>
      <c r="S594">
        <v>0</v>
      </c>
      <c r="T594">
        <v>129070</v>
      </c>
      <c r="U594">
        <v>12890</v>
      </c>
      <c r="V594">
        <v>4.2237666666000004</v>
      </c>
      <c r="W594">
        <v>4.0778666666000003</v>
      </c>
      <c r="X594">
        <v>20.509933333300001</v>
      </c>
      <c r="Z594">
        <v>9732.91</v>
      </c>
      <c r="AB594">
        <v>9748.8799999999992</v>
      </c>
      <c r="AD594">
        <v>9742.0499999999993</v>
      </c>
      <c r="AF594" t="s">
        <v>182</v>
      </c>
      <c r="AG594" t="s">
        <v>185</v>
      </c>
      <c r="AI594" t="s">
        <v>186</v>
      </c>
      <c r="AJ594" t="s">
        <v>1956</v>
      </c>
      <c r="AK594" t="s">
        <v>188</v>
      </c>
    </row>
    <row r="595" spans="1:37" x14ac:dyDescent="0.3">
      <c r="A595">
        <v>8008</v>
      </c>
      <c r="B595" s="207">
        <v>46121</v>
      </c>
      <c r="C595" t="s">
        <v>438</v>
      </c>
      <c r="D595" t="s">
        <v>1957</v>
      </c>
      <c r="E595" t="s">
        <v>1958</v>
      </c>
      <c r="F595" s="207">
        <v>47695</v>
      </c>
      <c r="G595">
        <v>2.5</v>
      </c>
      <c r="H595">
        <v>123228</v>
      </c>
      <c r="I595">
        <v>118374729</v>
      </c>
      <c r="J595">
        <v>3.6160000000000001</v>
      </c>
      <c r="K595">
        <v>9707</v>
      </c>
      <c r="L595">
        <v>119617418</v>
      </c>
      <c r="M595">
        <v>-884594</v>
      </c>
      <c r="N595">
        <v>2127283</v>
      </c>
      <c r="O595">
        <v>834458</v>
      </c>
      <c r="P595">
        <v>1013595</v>
      </c>
      <c r="Q595">
        <v>279230</v>
      </c>
      <c r="S595">
        <v>0</v>
      </c>
      <c r="T595">
        <v>258710</v>
      </c>
      <c r="U595">
        <v>25840</v>
      </c>
      <c r="V595">
        <v>4.3086666665999998</v>
      </c>
      <c r="W595">
        <v>4.1598666666000002</v>
      </c>
      <c r="X595">
        <v>21.252233333300001</v>
      </c>
      <c r="Z595">
        <v>9699.2199999999993</v>
      </c>
      <c r="AB595">
        <v>9715.0499999999993</v>
      </c>
      <c r="AD595">
        <v>9708.91</v>
      </c>
      <c r="AF595" t="s">
        <v>182</v>
      </c>
      <c r="AG595" t="s">
        <v>185</v>
      </c>
      <c r="AI595" t="s">
        <v>186</v>
      </c>
      <c r="AJ595" t="s">
        <v>1959</v>
      </c>
      <c r="AK595" t="s">
        <v>188</v>
      </c>
    </row>
    <row r="596" spans="1:37" x14ac:dyDescent="0.3">
      <c r="A596">
        <v>8008</v>
      </c>
      <c r="B596" s="207">
        <v>46121</v>
      </c>
      <c r="C596" t="s">
        <v>438</v>
      </c>
      <c r="D596" t="s">
        <v>1960</v>
      </c>
      <c r="E596" t="s">
        <v>1961</v>
      </c>
      <c r="F596" s="207">
        <v>47726</v>
      </c>
      <c r="G596">
        <v>2</v>
      </c>
      <c r="H596">
        <v>50643</v>
      </c>
      <c r="I596">
        <v>47493234</v>
      </c>
      <c r="J596">
        <v>3.6240000000000001</v>
      </c>
      <c r="K596">
        <v>9440</v>
      </c>
      <c r="L596">
        <v>47806992</v>
      </c>
      <c r="M596">
        <v>-299889</v>
      </c>
      <c r="N596">
        <v>613647</v>
      </c>
      <c r="O596">
        <v>274568</v>
      </c>
      <c r="P596">
        <v>257949</v>
      </c>
      <c r="Q596">
        <v>81130</v>
      </c>
      <c r="S596">
        <v>0</v>
      </c>
      <c r="T596">
        <v>74520</v>
      </c>
      <c r="U596">
        <v>7430</v>
      </c>
      <c r="V596">
        <v>4.3936000000000002</v>
      </c>
      <c r="W596">
        <v>4.2417666666000002</v>
      </c>
      <c r="X596">
        <v>22.011633333300001</v>
      </c>
      <c r="Z596">
        <v>9433.5</v>
      </c>
      <c r="AB596">
        <v>9447.02</v>
      </c>
      <c r="AD596">
        <v>9441.91</v>
      </c>
      <c r="AF596" t="s">
        <v>182</v>
      </c>
      <c r="AG596" t="s">
        <v>185</v>
      </c>
      <c r="AI596" t="s">
        <v>186</v>
      </c>
      <c r="AJ596" t="s">
        <v>1962</v>
      </c>
      <c r="AK596" t="s">
        <v>188</v>
      </c>
    </row>
    <row r="597" spans="1:37" x14ac:dyDescent="0.3">
      <c r="A597">
        <v>8008</v>
      </c>
      <c r="B597" s="207">
        <v>46121</v>
      </c>
      <c r="C597" t="s">
        <v>438</v>
      </c>
      <c r="D597" t="s">
        <v>1963</v>
      </c>
      <c r="E597" t="s">
        <v>1964</v>
      </c>
      <c r="F597" s="207">
        <v>47787</v>
      </c>
      <c r="G597">
        <v>2</v>
      </c>
      <c r="H597">
        <v>400</v>
      </c>
      <c r="I597">
        <v>365871</v>
      </c>
      <c r="J597">
        <v>3.6419999999999999</v>
      </c>
      <c r="K597">
        <v>9377</v>
      </c>
      <c r="L597">
        <v>375080</v>
      </c>
      <c r="M597">
        <v>5700</v>
      </c>
      <c r="N597">
        <v>3509</v>
      </c>
      <c r="O597">
        <v>1900</v>
      </c>
      <c r="P597">
        <v>0</v>
      </c>
      <c r="Q597">
        <v>1609</v>
      </c>
      <c r="S597">
        <v>0</v>
      </c>
      <c r="T597">
        <v>260</v>
      </c>
      <c r="U597">
        <v>20</v>
      </c>
      <c r="V597">
        <v>4.5606999999999998</v>
      </c>
      <c r="W597">
        <v>4.4024333333000003</v>
      </c>
      <c r="X597">
        <v>23.5527666666</v>
      </c>
      <c r="Z597">
        <v>9371.44</v>
      </c>
      <c r="AB597">
        <v>9381.6299999999992</v>
      </c>
      <c r="AD597">
        <v>9379.2900000000009</v>
      </c>
      <c r="AF597" t="s">
        <v>182</v>
      </c>
      <c r="AG597" t="s">
        <v>185</v>
      </c>
      <c r="AI597" t="s">
        <v>186</v>
      </c>
      <c r="AJ597" t="s">
        <v>1965</v>
      </c>
      <c r="AK597" t="s">
        <v>188</v>
      </c>
    </row>
    <row r="598" spans="1:37" x14ac:dyDescent="0.3">
      <c r="A598">
        <v>8008</v>
      </c>
      <c r="B598" s="207">
        <v>46121</v>
      </c>
      <c r="C598" t="s">
        <v>438</v>
      </c>
      <c r="D598" t="s">
        <v>1966</v>
      </c>
      <c r="E598" t="s">
        <v>1967</v>
      </c>
      <c r="F598" s="207">
        <v>47817</v>
      </c>
      <c r="G598">
        <v>2</v>
      </c>
      <c r="H598">
        <v>5054</v>
      </c>
      <c r="I598">
        <v>4701374</v>
      </c>
      <c r="J598">
        <v>3.6509999999999998</v>
      </c>
      <c r="K598">
        <v>9345</v>
      </c>
      <c r="L598">
        <v>4722963</v>
      </c>
      <c r="M598">
        <v>-14458</v>
      </c>
      <c r="N598">
        <v>36047</v>
      </c>
      <c r="O598">
        <v>26812</v>
      </c>
      <c r="P598">
        <v>418</v>
      </c>
      <c r="Q598">
        <v>8817</v>
      </c>
      <c r="S598">
        <v>0</v>
      </c>
      <c r="T598">
        <v>3800</v>
      </c>
      <c r="U598">
        <v>370</v>
      </c>
      <c r="V598">
        <v>4.6429</v>
      </c>
      <c r="W598">
        <v>4.4810999999999996</v>
      </c>
      <c r="X598">
        <v>24.332899999999999</v>
      </c>
      <c r="Z598">
        <v>9339.73</v>
      </c>
      <c r="AB598">
        <v>9349.64</v>
      </c>
      <c r="AD598">
        <v>9348.5400000000009</v>
      </c>
      <c r="AF598" t="s">
        <v>182</v>
      </c>
      <c r="AG598" t="s">
        <v>185</v>
      </c>
      <c r="AI598" t="s">
        <v>186</v>
      </c>
      <c r="AJ598" t="s">
        <v>1968</v>
      </c>
      <c r="AK598" t="s">
        <v>188</v>
      </c>
    </row>
    <row r="599" spans="1:37" x14ac:dyDescent="0.3">
      <c r="A599">
        <v>8008</v>
      </c>
      <c r="B599" s="207">
        <v>46121</v>
      </c>
      <c r="C599" t="s">
        <v>438</v>
      </c>
      <c r="D599" t="s">
        <v>1969</v>
      </c>
      <c r="E599" t="s">
        <v>1970</v>
      </c>
      <c r="F599" s="207">
        <v>47848</v>
      </c>
      <c r="G599">
        <v>2</v>
      </c>
      <c r="H599">
        <v>111871</v>
      </c>
      <c r="I599">
        <v>103162870</v>
      </c>
      <c r="J599">
        <v>3.661</v>
      </c>
      <c r="K599">
        <v>9313</v>
      </c>
      <c r="L599">
        <v>104185461</v>
      </c>
      <c r="M599">
        <v>414001</v>
      </c>
      <c r="N599">
        <v>608590</v>
      </c>
      <c r="O599">
        <v>427311</v>
      </c>
      <c r="P599">
        <v>0</v>
      </c>
      <c r="Q599">
        <v>181279</v>
      </c>
      <c r="S599">
        <v>0</v>
      </c>
      <c r="T599">
        <v>59800</v>
      </c>
      <c r="U599">
        <v>5970</v>
      </c>
      <c r="V599">
        <v>4.7278666665999998</v>
      </c>
      <c r="W599">
        <v>4.5622333333</v>
      </c>
      <c r="X599">
        <v>25.154666666600001</v>
      </c>
      <c r="Z599">
        <v>9307.58</v>
      </c>
      <c r="AB599">
        <v>9316.77</v>
      </c>
      <c r="AD599">
        <v>9316.51</v>
      </c>
      <c r="AF599" t="s">
        <v>182</v>
      </c>
      <c r="AG599" t="s">
        <v>185</v>
      </c>
      <c r="AI599" t="s">
        <v>186</v>
      </c>
      <c r="AJ599" t="s">
        <v>1971</v>
      </c>
      <c r="AK599" t="s">
        <v>188</v>
      </c>
    </row>
    <row r="600" spans="1:37" x14ac:dyDescent="0.3">
      <c r="A600">
        <v>8008</v>
      </c>
      <c r="B600" s="207">
        <v>46121</v>
      </c>
      <c r="C600" t="s">
        <v>438</v>
      </c>
      <c r="D600" t="s">
        <v>1972</v>
      </c>
      <c r="E600" t="s">
        <v>1973</v>
      </c>
      <c r="F600" s="207">
        <v>47879</v>
      </c>
      <c r="G600">
        <v>2</v>
      </c>
      <c r="H600">
        <v>6089</v>
      </c>
      <c r="I600">
        <v>5638148</v>
      </c>
      <c r="J600">
        <v>3.6709999999999998</v>
      </c>
      <c r="K600">
        <v>9281</v>
      </c>
      <c r="L600">
        <v>5651200</v>
      </c>
      <c r="M600">
        <v>-9784</v>
      </c>
      <c r="N600">
        <v>22836</v>
      </c>
      <c r="O600">
        <v>14052</v>
      </c>
      <c r="P600">
        <v>0</v>
      </c>
      <c r="Q600">
        <v>8784</v>
      </c>
      <c r="S600">
        <v>0</v>
      </c>
      <c r="T600">
        <v>1960</v>
      </c>
      <c r="U600">
        <v>190</v>
      </c>
      <c r="V600">
        <v>4.8128000000000002</v>
      </c>
      <c r="W600">
        <v>4.6432000000000002</v>
      </c>
      <c r="X600">
        <v>25.9916666666</v>
      </c>
      <c r="Z600">
        <v>9274.6299999999992</v>
      </c>
      <c r="AB600">
        <v>9283.5</v>
      </c>
      <c r="AD600">
        <v>9284.98</v>
      </c>
      <c r="AF600" t="s">
        <v>182</v>
      </c>
      <c r="AG600" t="s">
        <v>185</v>
      </c>
      <c r="AI600" t="s">
        <v>186</v>
      </c>
      <c r="AJ600" t="s">
        <v>1974</v>
      </c>
      <c r="AK600" t="s">
        <v>188</v>
      </c>
    </row>
    <row r="601" spans="1:37" x14ac:dyDescent="0.3">
      <c r="A601">
        <v>8008</v>
      </c>
      <c r="B601" s="207">
        <v>46121</v>
      </c>
      <c r="C601" t="s">
        <v>438</v>
      </c>
      <c r="D601" t="s">
        <v>1975</v>
      </c>
      <c r="E601" t="s">
        <v>1976</v>
      </c>
      <c r="F601" s="207">
        <v>47907</v>
      </c>
      <c r="G601">
        <v>2</v>
      </c>
      <c r="H601">
        <v>57645</v>
      </c>
      <c r="I601">
        <v>52038145</v>
      </c>
      <c r="J601">
        <v>3.681</v>
      </c>
      <c r="K601">
        <v>9251</v>
      </c>
      <c r="L601">
        <v>53327388</v>
      </c>
      <c r="M601">
        <v>1160875</v>
      </c>
      <c r="N601">
        <v>128368</v>
      </c>
      <c r="O601">
        <v>34155</v>
      </c>
      <c r="P601">
        <v>0</v>
      </c>
      <c r="Q601">
        <v>94213</v>
      </c>
      <c r="S601">
        <v>0</v>
      </c>
      <c r="T601">
        <v>4770</v>
      </c>
      <c r="U601">
        <v>470</v>
      </c>
      <c r="V601">
        <v>4.8895</v>
      </c>
      <c r="W601">
        <v>4.7161333333000002</v>
      </c>
      <c r="X601">
        <v>26.7605333333</v>
      </c>
      <c r="Z601">
        <v>9244</v>
      </c>
      <c r="AB601">
        <v>9253.84</v>
      </c>
      <c r="AD601">
        <v>9256.2199999999993</v>
      </c>
      <c r="AF601" t="s">
        <v>182</v>
      </c>
      <c r="AG601" t="s">
        <v>185</v>
      </c>
      <c r="AI601" t="s">
        <v>186</v>
      </c>
      <c r="AJ601" t="s">
        <v>1977</v>
      </c>
      <c r="AK601" t="s">
        <v>188</v>
      </c>
    </row>
    <row r="602" spans="1:37" x14ac:dyDescent="0.3">
      <c r="A602">
        <v>8008</v>
      </c>
      <c r="B602" s="207">
        <v>46121</v>
      </c>
      <c r="C602" t="s">
        <v>438</v>
      </c>
      <c r="D602" t="s">
        <v>1978</v>
      </c>
      <c r="E602" t="s">
        <v>1979</v>
      </c>
      <c r="F602" s="207">
        <v>47968</v>
      </c>
      <c r="G602">
        <v>2</v>
      </c>
      <c r="H602">
        <v>83890</v>
      </c>
      <c r="I602">
        <v>76311712</v>
      </c>
      <c r="J602">
        <v>3.7010000000000001</v>
      </c>
      <c r="K602">
        <v>9187</v>
      </c>
      <c r="L602">
        <v>77069742</v>
      </c>
      <c r="M602">
        <v>758030</v>
      </c>
      <c r="N602">
        <v>0</v>
      </c>
      <c r="O602">
        <v>0</v>
      </c>
      <c r="P602">
        <v>0</v>
      </c>
      <c r="Q602">
        <v>0</v>
      </c>
      <c r="S602">
        <v>0</v>
      </c>
      <c r="T602">
        <v>0</v>
      </c>
      <c r="U602">
        <v>0</v>
      </c>
      <c r="V602">
        <v>5.0566000000000004</v>
      </c>
      <c r="W602">
        <v>4.8758666666000003</v>
      </c>
      <c r="X602">
        <v>28.459566666600001</v>
      </c>
      <c r="Z602">
        <v>9177.61</v>
      </c>
      <c r="AB602">
        <v>9189.0300000000007</v>
      </c>
      <c r="AD602">
        <v>9195.08</v>
      </c>
      <c r="AF602" t="s">
        <v>182</v>
      </c>
      <c r="AG602" t="s">
        <v>185</v>
      </c>
      <c r="AI602" t="s">
        <v>186</v>
      </c>
      <c r="AJ602" t="s">
        <v>1980</v>
      </c>
      <c r="AK602" t="s">
        <v>188</v>
      </c>
    </row>
    <row r="603" spans="1:37" x14ac:dyDescent="0.3">
      <c r="A603">
        <v>8008</v>
      </c>
      <c r="B603" s="207">
        <v>46121</v>
      </c>
      <c r="C603" t="s">
        <v>438</v>
      </c>
      <c r="D603" t="s">
        <v>1981</v>
      </c>
      <c r="E603" t="s">
        <v>1982</v>
      </c>
      <c r="F603" s="207">
        <v>46142</v>
      </c>
      <c r="G603">
        <v>1.05</v>
      </c>
      <c r="H603">
        <v>27601</v>
      </c>
      <c r="I603">
        <v>27424193</v>
      </c>
      <c r="J603">
        <v>2.637</v>
      </c>
      <c r="K603">
        <v>10520</v>
      </c>
      <c r="L603">
        <v>29036252</v>
      </c>
      <c r="M603">
        <v>148897</v>
      </c>
      <c r="N603">
        <v>1463162</v>
      </c>
      <c r="O603">
        <v>62072</v>
      </c>
      <c r="P603">
        <v>239242</v>
      </c>
      <c r="Q603">
        <v>1161848</v>
      </c>
      <c r="S603">
        <v>0</v>
      </c>
      <c r="T603">
        <v>42150</v>
      </c>
      <c r="U603">
        <v>4200</v>
      </c>
      <c r="V603">
        <v>5.57E-2</v>
      </c>
      <c r="W603">
        <v>5.4699999999999999E-2</v>
      </c>
      <c r="X603">
        <v>3.9533333300000001E-2</v>
      </c>
      <c r="Z603">
        <v>10520.55</v>
      </c>
      <c r="AB603">
        <v>10521.14</v>
      </c>
      <c r="AD603">
        <v>10520.83</v>
      </c>
      <c r="AF603" t="s">
        <v>182</v>
      </c>
      <c r="AG603" t="s">
        <v>185</v>
      </c>
      <c r="AI603" t="s">
        <v>186</v>
      </c>
      <c r="AJ603" t="s">
        <v>1983</v>
      </c>
      <c r="AK603" t="s">
        <v>188</v>
      </c>
    </row>
    <row r="604" spans="1:37" x14ac:dyDescent="0.3">
      <c r="A604">
        <v>8008</v>
      </c>
      <c r="B604" s="207">
        <v>46121</v>
      </c>
      <c r="C604" t="s">
        <v>438</v>
      </c>
      <c r="D604" t="s">
        <v>1984</v>
      </c>
      <c r="E604" t="s">
        <v>1985</v>
      </c>
      <c r="F604" s="207">
        <v>46173</v>
      </c>
      <c r="G604">
        <v>1.05</v>
      </c>
      <c r="H604">
        <v>3545</v>
      </c>
      <c r="I604">
        <v>3512152</v>
      </c>
      <c r="J604">
        <v>2.6579999999999999</v>
      </c>
      <c r="K604">
        <v>10497</v>
      </c>
      <c r="L604">
        <v>3721186</v>
      </c>
      <c r="M604">
        <v>24420</v>
      </c>
      <c r="N604">
        <v>184614</v>
      </c>
      <c r="O604">
        <v>9049</v>
      </c>
      <c r="P604">
        <v>79346</v>
      </c>
      <c r="Q604">
        <v>96219</v>
      </c>
      <c r="S604">
        <v>0</v>
      </c>
      <c r="T604">
        <v>12360</v>
      </c>
      <c r="U604">
        <v>1230</v>
      </c>
      <c r="V604">
        <v>0.1406333333</v>
      </c>
      <c r="W604">
        <v>0.13800000000000001</v>
      </c>
      <c r="X604">
        <v>0.1147666666</v>
      </c>
      <c r="Z604">
        <v>10496.69</v>
      </c>
      <c r="AB604">
        <v>10497.5</v>
      </c>
      <c r="AD604">
        <v>10496.98</v>
      </c>
      <c r="AF604" t="s">
        <v>182</v>
      </c>
      <c r="AG604" t="s">
        <v>185</v>
      </c>
      <c r="AI604" t="s">
        <v>186</v>
      </c>
      <c r="AJ604" t="s">
        <v>1986</v>
      </c>
      <c r="AK604" t="s">
        <v>188</v>
      </c>
    </row>
    <row r="605" spans="1:37" x14ac:dyDescent="0.3">
      <c r="A605">
        <v>8008</v>
      </c>
      <c r="B605" s="207">
        <v>46121</v>
      </c>
      <c r="C605" t="s">
        <v>438</v>
      </c>
      <c r="D605" t="s">
        <v>1987</v>
      </c>
      <c r="E605" t="s">
        <v>1988</v>
      </c>
      <c r="F605" s="207">
        <v>46203</v>
      </c>
      <c r="G605">
        <v>1.05</v>
      </c>
      <c r="H605">
        <v>6045</v>
      </c>
      <c r="I605">
        <v>5997844</v>
      </c>
      <c r="J605">
        <v>2.677</v>
      </c>
      <c r="K605">
        <v>10473</v>
      </c>
      <c r="L605">
        <v>6330928</v>
      </c>
      <c r="M605">
        <v>23733</v>
      </c>
      <c r="N605">
        <v>309351</v>
      </c>
      <c r="O605">
        <v>17977</v>
      </c>
      <c r="P605">
        <v>1088</v>
      </c>
      <c r="Q605">
        <v>290286</v>
      </c>
      <c r="S605">
        <v>0</v>
      </c>
      <c r="T605">
        <v>2660</v>
      </c>
      <c r="U605">
        <v>260</v>
      </c>
      <c r="V605">
        <v>0.22283333329999999</v>
      </c>
      <c r="W605">
        <v>0.21853333329999999</v>
      </c>
      <c r="X605">
        <v>0.20516666659999999</v>
      </c>
      <c r="Z605">
        <v>10473.31</v>
      </c>
      <c r="AB605">
        <v>10474.17</v>
      </c>
      <c r="AD605">
        <v>10473.98</v>
      </c>
      <c r="AF605" t="s">
        <v>182</v>
      </c>
      <c r="AG605" t="s">
        <v>185</v>
      </c>
      <c r="AI605" t="s">
        <v>186</v>
      </c>
      <c r="AJ605" t="s">
        <v>1989</v>
      </c>
      <c r="AK605" t="s">
        <v>188</v>
      </c>
    </row>
    <row r="606" spans="1:37" x14ac:dyDescent="0.3">
      <c r="A606">
        <v>8008</v>
      </c>
      <c r="B606" s="207">
        <v>46121</v>
      </c>
      <c r="C606" t="s">
        <v>438</v>
      </c>
      <c r="D606" t="s">
        <v>1990</v>
      </c>
      <c r="E606" t="s">
        <v>1991</v>
      </c>
      <c r="F606" s="207">
        <v>46234</v>
      </c>
      <c r="G606">
        <v>1.05</v>
      </c>
      <c r="H606">
        <v>26172</v>
      </c>
      <c r="I606">
        <v>25929351</v>
      </c>
      <c r="J606">
        <v>2.7189999999999999</v>
      </c>
      <c r="K606">
        <v>10448</v>
      </c>
      <c r="L606">
        <v>27344505</v>
      </c>
      <c r="M606">
        <v>100207</v>
      </c>
      <c r="N606">
        <v>1314947</v>
      </c>
      <c r="O606">
        <v>77762</v>
      </c>
      <c r="P606">
        <v>1033555</v>
      </c>
      <c r="Q606">
        <v>203630</v>
      </c>
      <c r="S606">
        <v>0</v>
      </c>
      <c r="T606">
        <v>155570</v>
      </c>
      <c r="U606">
        <v>15550</v>
      </c>
      <c r="V606">
        <v>0.30773333330000002</v>
      </c>
      <c r="W606">
        <v>0.30146666659999999</v>
      </c>
      <c r="X606">
        <v>0.3164666666</v>
      </c>
      <c r="Z606">
        <v>10447.86</v>
      </c>
      <c r="AB606">
        <v>10449.280000000001</v>
      </c>
      <c r="AD606">
        <v>10449.42</v>
      </c>
      <c r="AF606" t="s">
        <v>182</v>
      </c>
      <c r="AG606" t="s">
        <v>185</v>
      </c>
      <c r="AI606" t="s">
        <v>186</v>
      </c>
      <c r="AJ606" t="s">
        <v>1992</v>
      </c>
      <c r="AK606" t="s">
        <v>188</v>
      </c>
    </row>
    <row r="607" spans="1:37" x14ac:dyDescent="0.3">
      <c r="A607">
        <v>8008</v>
      </c>
      <c r="B607" s="207">
        <v>46121</v>
      </c>
      <c r="C607" t="s">
        <v>438</v>
      </c>
      <c r="D607" t="s">
        <v>1993</v>
      </c>
      <c r="E607" t="s">
        <v>1994</v>
      </c>
      <c r="F607" s="207">
        <v>46265</v>
      </c>
      <c r="G607">
        <v>1.05</v>
      </c>
      <c r="H607">
        <v>27647</v>
      </c>
      <c r="I607">
        <v>27352652</v>
      </c>
      <c r="J607">
        <v>2.7730000000000001</v>
      </c>
      <c r="K607">
        <v>10422</v>
      </c>
      <c r="L607">
        <v>28813703</v>
      </c>
      <c r="M607">
        <v>97744</v>
      </c>
      <c r="N607">
        <v>1363307</v>
      </c>
      <c r="O607">
        <v>82051</v>
      </c>
      <c r="P607">
        <v>1145673</v>
      </c>
      <c r="Q607">
        <v>135583</v>
      </c>
      <c r="S607">
        <v>0</v>
      </c>
      <c r="T607">
        <v>171870</v>
      </c>
      <c r="U607">
        <v>17170</v>
      </c>
      <c r="V607">
        <v>0.39269999999999999</v>
      </c>
      <c r="W607">
        <v>0.38419999999999999</v>
      </c>
      <c r="X607">
        <v>0.44579999999999997</v>
      </c>
      <c r="Z607">
        <v>10421.75</v>
      </c>
      <c r="AB607">
        <v>10423.59</v>
      </c>
      <c r="AD607">
        <v>10423.040000000001</v>
      </c>
      <c r="AF607" t="s">
        <v>182</v>
      </c>
      <c r="AG607" t="s">
        <v>185</v>
      </c>
      <c r="AI607" t="s">
        <v>186</v>
      </c>
      <c r="AJ607" t="s">
        <v>1995</v>
      </c>
      <c r="AK607" t="s">
        <v>188</v>
      </c>
    </row>
    <row r="608" spans="1:37" x14ac:dyDescent="0.3">
      <c r="A608">
        <v>8008</v>
      </c>
      <c r="B608" s="207">
        <v>46121</v>
      </c>
      <c r="C608" t="s">
        <v>438</v>
      </c>
      <c r="D608" t="s">
        <v>1996</v>
      </c>
      <c r="E608" t="s">
        <v>1997</v>
      </c>
      <c r="F608" s="207">
        <v>46295</v>
      </c>
      <c r="G608">
        <v>1.05</v>
      </c>
      <c r="H608">
        <v>5</v>
      </c>
      <c r="I608">
        <v>4940</v>
      </c>
      <c r="J608">
        <v>2.81</v>
      </c>
      <c r="K608">
        <v>10397</v>
      </c>
      <c r="L608">
        <v>5198</v>
      </c>
      <c r="M608">
        <v>16</v>
      </c>
      <c r="N608">
        <v>242</v>
      </c>
      <c r="O608">
        <v>15</v>
      </c>
      <c r="P608">
        <v>0</v>
      </c>
      <c r="Q608">
        <v>227</v>
      </c>
      <c r="S608">
        <v>0</v>
      </c>
      <c r="T608">
        <v>0</v>
      </c>
      <c r="U608">
        <v>0</v>
      </c>
      <c r="V608">
        <v>0.47489999999999999</v>
      </c>
      <c r="W608">
        <v>0.4641666666</v>
      </c>
      <c r="X608">
        <v>0.58816666660000005</v>
      </c>
      <c r="Z608">
        <v>10396.25</v>
      </c>
      <c r="AB608">
        <v>10398.09</v>
      </c>
      <c r="AD608">
        <v>10398.34</v>
      </c>
      <c r="AF608" t="s">
        <v>182</v>
      </c>
      <c r="AG608" t="s">
        <v>185</v>
      </c>
      <c r="AI608" t="s">
        <v>186</v>
      </c>
      <c r="AJ608" t="s">
        <v>1998</v>
      </c>
      <c r="AK608" t="s">
        <v>188</v>
      </c>
    </row>
    <row r="609" spans="1:37" x14ac:dyDescent="0.3">
      <c r="A609">
        <v>8008</v>
      </c>
      <c r="B609" s="207">
        <v>46121</v>
      </c>
      <c r="C609" t="s">
        <v>438</v>
      </c>
      <c r="D609" t="s">
        <v>1999</v>
      </c>
      <c r="E609" t="s">
        <v>2000</v>
      </c>
      <c r="F609" s="207">
        <v>46326</v>
      </c>
      <c r="G609">
        <v>1.05</v>
      </c>
      <c r="H609">
        <v>23054</v>
      </c>
      <c r="I609">
        <v>22742364</v>
      </c>
      <c r="J609">
        <v>2.835</v>
      </c>
      <c r="K609">
        <v>10371</v>
      </c>
      <c r="L609">
        <v>23909302</v>
      </c>
      <c r="M609">
        <v>72308</v>
      </c>
      <c r="N609">
        <v>1094630</v>
      </c>
      <c r="O609">
        <v>68320</v>
      </c>
      <c r="P609">
        <v>865149</v>
      </c>
      <c r="Q609">
        <v>161161</v>
      </c>
      <c r="S609">
        <v>0</v>
      </c>
      <c r="T609">
        <v>130670</v>
      </c>
      <c r="U609">
        <v>13050</v>
      </c>
      <c r="V609">
        <v>0.55979999999999996</v>
      </c>
      <c r="W609">
        <v>0.54663333329999997</v>
      </c>
      <c r="X609">
        <v>0.75286666660000001</v>
      </c>
      <c r="Z609">
        <v>10370.69</v>
      </c>
      <c r="AB609">
        <v>10372.08</v>
      </c>
      <c r="AD609">
        <v>10372.34</v>
      </c>
      <c r="AF609" t="s">
        <v>182</v>
      </c>
      <c r="AG609" t="s">
        <v>185</v>
      </c>
      <c r="AI609" t="s">
        <v>186</v>
      </c>
      <c r="AJ609" t="s">
        <v>2001</v>
      </c>
      <c r="AK609" t="s">
        <v>188</v>
      </c>
    </row>
    <row r="610" spans="1:37" x14ac:dyDescent="0.3">
      <c r="A610">
        <v>8008</v>
      </c>
      <c r="B610" s="207">
        <v>46121</v>
      </c>
      <c r="C610" t="s">
        <v>438</v>
      </c>
      <c r="D610" t="s">
        <v>2002</v>
      </c>
      <c r="E610" t="s">
        <v>2003</v>
      </c>
      <c r="F610" s="207">
        <v>46356</v>
      </c>
      <c r="G610">
        <v>1.05</v>
      </c>
      <c r="H610">
        <v>12167</v>
      </c>
      <c r="I610">
        <v>11984236</v>
      </c>
      <c r="J610">
        <v>2.8540000000000001</v>
      </c>
      <c r="K610">
        <v>10346</v>
      </c>
      <c r="L610">
        <v>12587977</v>
      </c>
      <c r="M610">
        <v>36976</v>
      </c>
      <c r="N610">
        <v>566765</v>
      </c>
      <c r="O610">
        <v>36026</v>
      </c>
      <c r="P610">
        <v>383071</v>
      </c>
      <c r="Q610">
        <v>147668</v>
      </c>
      <c r="S610">
        <v>0</v>
      </c>
      <c r="T610">
        <v>58650</v>
      </c>
      <c r="U610">
        <v>5850</v>
      </c>
      <c r="V610">
        <v>0.64200000000000002</v>
      </c>
      <c r="W610">
        <v>0.62626666659999997</v>
      </c>
      <c r="X610">
        <v>0.92920000000000003</v>
      </c>
      <c r="Z610">
        <v>10346.290000000001</v>
      </c>
      <c r="AB610">
        <v>10347.15</v>
      </c>
      <c r="AD610">
        <v>10346.75</v>
      </c>
      <c r="AF610" t="s">
        <v>182</v>
      </c>
      <c r="AG610" t="s">
        <v>185</v>
      </c>
      <c r="AI610" t="s">
        <v>186</v>
      </c>
      <c r="AJ610" t="s">
        <v>2004</v>
      </c>
      <c r="AK610" t="s">
        <v>188</v>
      </c>
    </row>
    <row r="611" spans="1:37" x14ac:dyDescent="0.3">
      <c r="A611">
        <v>8008</v>
      </c>
      <c r="B611" s="207">
        <v>46121</v>
      </c>
      <c r="C611" t="s">
        <v>438</v>
      </c>
      <c r="D611" t="s">
        <v>2005</v>
      </c>
      <c r="E611" t="s">
        <v>2006</v>
      </c>
      <c r="F611" s="207">
        <v>46387</v>
      </c>
      <c r="G611">
        <v>1.05</v>
      </c>
      <c r="H611">
        <v>2</v>
      </c>
      <c r="I611">
        <v>1922</v>
      </c>
      <c r="J611">
        <v>2.879</v>
      </c>
      <c r="K611">
        <v>10320</v>
      </c>
      <c r="L611">
        <v>2064</v>
      </c>
      <c r="M611">
        <v>51</v>
      </c>
      <c r="N611">
        <v>91</v>
      </c>
      <c r="O611">
        <v>1</v>
      </c>
      <c r="P611">
        <v>0</v>
      </c>
      <c r="Q611">
        <v>90</v>
      </c>
      <c r="S611">
        <v>0</v>
      </c>
      <c r="T611">
        <v>0</v>
      </c>
      <c r="U611">
        <v>0</v>
      </c>
      <c r="V611">
        <v>0.72693333329999998</v>
      </c>
      <c r="W611">
        <v>0.70840000000000003</v>
      </c>
      <c r="X611">
        <v>1.1285666666</v>
      </c>
      <c r="Z611">
        <v>10319.76</v>
      </c>
      <c r="AB611">
        <v>10321.15</v>
      </c>
      <c r="AD611">
        <v>10319.91</v>
      </c>
      <c r="AF611" t="s">
        <v>182</v>
      </c>
      <c r="AG611" t="s">
        <v>185</v>
      </c>
      <c r="AI611" t="s">
        <v>186</v>
      </c>
      <c r="AJ611" t="s">
        <v>2007</v>
      </c>
      <c r="AK611" t="s">
        <v>188</v>
      </c>
    </row>
    <row r="612" spans="1:37" x14ac:dyDescent="0.3">
      <c r="A612">
        <v>8008</v>
      </c>
      <c r="B612" s="207">
        <v>46121</v>
      </c>
      <c r="C612" t="s">
        <v>438</v>
      </c>
      <c r="D612" t="s">
        <v>2008</v>
      </c>
      <c r="E612" t="s">
        <v>2009</v>
      </c>
      <c r="F612" s="207">
        <v>46507</v>
      </c>
      <c r="G612">
        <v>1.05</v>
      </c>
      <c r="H612">
        <v>12314</v>
      </c>
      <c r="I612">
        <v>11831820</v>
      </c>
      <c r="J612">
        <v>3.02</v>
      </c>
      <c r="K612">
        <v>10210</v>
      </c>
      <c r="L612">
        <v>12572594</v>
      </c>
      <c r="M612">
        <v>222733</v>
      </c>
      <c r="N612">
        <v>518041</v>
      </c>
      <c r="O612">
        <v>32183</v>
      </c>
      <c r="P612">
        <v>114363</v>
      </c>
      <c r="Q612">
        <v>371495</v>
      </c>
      <c r="S612">
        <v>0</v>
      </c>
      <c r="T612">
        <v>20470</v>
      </c>
      <c r="U612">
        <v>2030</v>
      </c>
      <c r="V612">
        <v>1.0557000000000001</v>
      </c>
      <c r="W612">
        <v>1.0252666666000001</v>
      </c>
      <c r="X612">
        <v>2.0296666665999998</v>
      </c>
      <c r="Z612">
        <v>10210.969999999999</v>
      </c>
      <c r="AB612">
        <v>10209.64</v>
      </c>
      <c r="AD612">
        <v>10210.030000000001</v>
      </c>
      <c r="AF612" t="s">
        <v>182</v>
      </c>
      <c r="AG612" t="s">
        <v>185</v>
      </c>
      <c r="AI612" t="s">
        <v>186</v>
      </c>
      <c r="AJ612" t="s">
        <v>2010</v>
      </c>
      <c r="AK612" t="s">
        <v>188</v>
      </c>
    </row>
    <row r="613" spans="1:37" x14ac:dyDescent="0.3">
      <c r="A613">
        <v>8008</v>
      </c>
      <c r="B613" s="207">
        <v>46121</v>
      </c>
      <c r="C613" t="s">
        <v>438</v>
      </c>
      <c r="D613" t="s">
        <v>2011</v>
      </c>
      <c r="E613" t="s">
        <v>2012</v>
      </c>
      <c r="F613" s="207">
        <v>46538</v>
      </c>
      <c r="G613">
        <v>1.05</v>
      </c>
      <c r="H613">
        <v>18157</v>
      </c>
      <c r="I613">
        <v>17704891</v>
      </c>
      <c r="J613">
        <v>3.0489999999999999</v>
      </c>
      <c r="K613">
        <v>10180</v>
      </c>
      <c r="L613">
        <v>18483826</v>
      </c>
      <c r="M613">
        <v>31857</v>
      </c>
      <c r="N613">
        <v>747078</v>
      </c>
      <c r="O613">
        <v>53481</v>
      </c>
      <c r="P613">
        <v>169121</v>
      </c>
      <c r="Q613">
        <v>524476</v>
      </c>
      <c r="S613">
        <v>0</v>
      </c>
      <c r="T613">
        <v>31150</v>
      </c>
      <c r="U613">
        <v>3110</v>
      </c>
      <c r="V613">
        <v>1.1406333333000001</v>
      </c>
      <c r="W613">
        <v>1.1080666666000001</v>
      </c>
      <c r="X613">
        <v>2.2645333333000002</v>
      </c>
      <c r="Z613">
        <v>10181.450000000001</v>
      </c>
      <c r="AB613">
        <v>10180.68</v>
      </c>
      <c r="AD613">
        <v>10180.66</v>
      </c>
      <c r="AF613" t="s">
        <v>182</v>
      </c>
      <c r="AG613" t="s">
        <v>185</v>
      </c>
      <c r="AI613" t="s">
        <v>186</v>
      </c>
      <c r="AJ613" t="s">
        <v>2013</v>
      </c>
      <c r="AK613" t="s">
        <v>188</v>
      </c>
    </row>
    <row r="614" spans="1:37" x14ac:dyDescent="0.3">
      <c r="A614">
        <v>8008</v>
      </c>
      <c r="B614" s="207">
        <v>46121</v>
      </c>
      <c r="C614" t="s">
        <v>438</v>
      </c>
      <c r="D614" t="s">
        <v>2014</v>
      </c>
      <c r="E614" t="s">
        <v>2015</v>
      </c>
      <c r="F614" s="207">
        <v>46599</v>
      </c>
      <c r="G614">
        <v>1.05</v>
      </c>
      <c r="H614">
        <v>98963</v>
      </c>
      <c r="I614">
        <v>96143618</v>
      </c>
      <c r="J614">
        <v>3.1059999999999999</v>
      </c>
      <c r="K614">
        <v>10122</v>
      </c>
      <c r="L614">
        <v>100170348</v>
      </c>
      <c r="M614">
        <v>134557</v>
      </c>
      <c r="N614">
        <v>3892173</v>
      </c>
      <c r="O614">
        <v>290985</v>
      </c>
      <c r="P614">
        <v>3221516</v>
      </c>
      <c r="Q614">
        <v>379672</v>
      </c>
      <c r="S614">
        <v>0</v>
      </c>
      <c r="T614">
        <v>491700</v>
      </c>
      <c r="U614">
        <v>49130</v>
      </c>
      <c r="V614">
        <v>1.3077333333000001</v>
      </c>
      <c r="W614">
        <v>1.2705</v>
      </c>
      <c r="X614">
        <v>2.7788333333000002</v>
      </c>
      <c r="Z614">
        <v>10121.36</v>
      </c>
      <c r="AB614">
        <v>10122.91</v>
      </c>
      <c r="AD614">
        <v>10122</v>
      </c>
      <c r="AF614" t="s">
        <v>182</v>
      </c>
      <c r="AG614" t="s">
        <v>185</v>
      </c>
      <c r="AI614" t="s">
        <v>186</v>
      </c>
      <c r="AJ614" t="s">
        <v>2016</v>
      </c>
      <c r="AK614" t="s">
        <v>188</v>
      </c>
    </row>
    <row r="615" spans="1:37" x14ac:dyDescent="0.3">
      <c r="A615">
        <v>8008</v>
      </c>
      <c r="B615" s="207">
        <v>46121</v>
      </c>
      <c r="C615" t="s">
        <v>438</v>
      </c>
      <c r="D615" t="s">
        <v>2017</v>
      </c>
      <c r="E615" t="s">
        <v>2018</v>
      </c>
      <c r="F615" s="207">
        <v>46630</v>
      </c>
      <c r="G615">
        <v>1.05</v>
      </c>
      <c r="H615">
        <v>2</v>
      </c>
      <c r="I615">
        <v>1940</v>
      </c>
      <c r="J615">
        <v>3.1349999999999998</v>
      </c>
      <c r="K615">
        <v>10091</v>
      </c>
      <c r="L615">
        <v>2018</v>
      </c>
      <c r="M615">
        <v>2</v>
      </c>
      <c r="N615">
        <v>76</v>
      </c>
      <c r="O615">
        <v>7</v>
      </c>
      <c r="P615">
        <v>0</v>
      </c>
      <c r="Q615">
        <v>69</v>
      </c>
      <c r="S615">
        <v>0</v>
      </c>
      <c r="T615">
        <v>0</v>
      </c>
      <c r="U615">
        <v>0</v>
      </c>
      <c r="V615">
        <v>1.3927</v>
      </c>
      <c r="W615">
        <v>1.3527333333</v>
      </c>
      <c r="X615">
        <v>3.0663666666</v>
      </c>
      <c r="Z615">
        <v>10090.549999999999</v>
      </c>
      <c r="AB615">
        <v>10093.290000000001</v>
      </c>
      <c r="AD615">
        <v>10091.64</v>
      </c>
      <c r="AF615" t="s">
        <v>182</v>
      </c>
      <c r="AG615" t="s">
        <v>185</v>
      </c>
      <c r="AI615" t="s">
        <v>186</v>
      </c>
      <c r="AJ615" t="s">
        <v>2019</v>
      </c>
      <c r="AK615" t="s">
        <v>188</v>
      </c>
    </row>
    <row r="616" spans="1:37" x14ac:dyDescent="0.3">
      <c r="A616">
        <v>8008</v>
      </c>
      <c r="B616" s="207">
        <v>46121</v>
      </c>
      <c r="C616" t="s">
        <v>438</v>
      </c>
      <c r="D616" t="s">
        <v>2020</v>
      </c>
      <c r="E616" t="s">
        <v>2021</v>
      </c>
      <c r="F616" s="207">
        <v>46752</v>
      </c>
      <c r="G616">
        <v>1.05</v>
      </c>
      <c r="H616">
        <v>60968</v>
      </c>
      <c r="I616">
        <v>57677120</v>
      </c>
      <c r="J616">
        <v>3.2290000000000001</v>
      </c>
      <c r="K616">
        <v>9972</v>
      </c>
      <c r="L616">
        <v>60797289</v>
      </c>
      <c r="M616">
        <v>999160</v>
      </c>
      <c r="N616">
        <v>2121009</v>
      </c>
      <c r="O616">
        <v>167260</v>
      </c>
      <c r="P616">
        <v>232431</v>
      </c>
      <c r="Q616">
        <v>1721318</v>
      </c>
      <c r="S616">
        <v>0</v>
      </c>
      <c r="T616">
        <v>55930</v>
      </c>
      <c r="U616">
        <v>5570</v>
      </c>
      <c r="V616">
        <v>1.7269333333000001</v>
      </c>
      <c r="W616">
        <v>1.6749333333</v>
      </c>
      <c r="X616">
        <v>4.3666333333000003</v>
      </c>
      <c r="Z616">
        <v>9970.1299999999992</v>
      </c>
      <c r="AB616">
        <v>9975.7800000000007</v>
      </c>
      <c r="AD616">
        <v>9972.1299999999992</v>
      </c>
      <c r="AF616" t="s">
        <v>182</v>
      </c>
      <c r="AG616" t="s">
        <v>185</v>
      </c>
      <c r="AI616" t="s">
        <v>186</v>
      </c>
      <c r="AJ616" t="s">
        <v>2022</v>
      </c>
      <c r="AK616" t="s">
        <v>188</v>
      </c>
    </row>
    <row r="617" spans="1:37" x14ac:dyDescent="0.3">
      <c r="A617">
        <v>8008</v>
      </c>
      <c r="B617" s="207">
        <v>46121</v>
      </c>
      <c r="C617" t="s">
        <v>438</v>
      </c>
      <c r="D617" t="s">
        <v>2023</v>
      </c>
      <c r="E617" t="s">
        <v>2024</v>
      </c>
      <c r="F617" s="207">
        <v>46783</v>
      </c>
      <c r="G617">
        <v>2.5</v>
      </c>
      <c r="H617">
        <v>5</v>
      </c>
      <c r="I617">
        <v>4952</v>
      </c>
      <c r="J617">
        <v>3.25</v>
      </c>
      <c r="K617">
        <v>10676</v>
      </c>
      <c r="L617">
        <v>5338</v>
      </c>
      <c r="M617">
        <v>-23</v>
      </c>
      <c r="N617">
        <v>409</v>
      </c>
      <c r="O617">
        <v>37</v>
      </c>
      <c r="P617">
        <v>0</v>
      </c>
      <c r="Q617">
        <v>372</v>
      </c>
      <c r="S617">
        <v>0</v>
      </c>
      <c r="T617">
        <v>0</v>
      </c>
      <c r="U617">
        <v>0</v>
      </c>
      <c r="V617">
        <v>1.8119000000000001</v>
      </c>
      <c r="W617">
        <v>1.7564333333</v>
      </c>
      <c r="X617">
        <v>4.7390333333000001</v>
      </c>
      <c r="Z617">
        <v>10673.66</v>
      </c>
      <c r="AB617">
        <v>10680.12</v>
      </c>
      <c r="AD617">
        <v>10675.72</v>
      </c>
      <c r="AF617" t="s">
        <v>182</v>
      </c>
      <c r="AG617" t="s">
        <v>185</v>
      </c>
      <c r="AI617" t="s">
        <v>186</v>
      </c>
      <c r="AJ617" t="s">
        <v>2025</v>
      </c>
      <c r="AK617" t="s">
        <v>188</v>
      </c>
    </row>
    <row r="618" spans="1:37" x14ac:dyDescent="0.3">
      <c r="A618">
        <v>8008</v>
      </c>
      <c r="B618" s="207">
        <v>46121</v>
      </c>
      <c r="C618" t="s">
        <v>438</v>
      </c>
      <c r="D618" t="s">
        <v>2026</v>
      </c>
      <c r="E618" t="s">
        <v>2027</v>
      </c>
      <c r="F618" s="207">
        <v>46843</v>
      </c>
      <c r="G618">
        <v>2.5</v>
      </c>
      <c r="H618">
        <v>45842</v>
      </c>
      <c r="I618">
        <v>44910597</v>
      </c>
      <c r="J618">
        <v>3.29</v>
      </c>
      <c r="K618">
        <v>10613</v>
      </c>
      <c r="L618">
        <v>48652114</v>
      </c>
      <c r="M618">
        <v>183291</v>
      </c>
      <c r="N618">
        <v>3558226</v>
      </c>
      <c r="O618">
        <v>299314</v>
      </c>
      <c r="P618">
        <v>512212</v>
      </c>
      <c r="Q618">
        <v>2746700</v>
      </c>
      <c r="S618">
        <v>0</v>
      </c>
      <c r="T618">
        <v>113580</v>
      </c>
      <c r="U618">
        <v>11330</v>
      </c>
      <c r="V618">
        <v>1.9743999999999999</v>
      </c>
      <c r="W618">
        <v>1.9109</v>
      </c>
      <c r="X618">
        <v>5.4935999999999998</v>
      </c>
      <c r="Z618">
        <v>10611.35</v>
      </c>
      <c r="AB618">
        <v>10617.92</v>
      </c>
      <c r="AD618">
        <v>10612.57</v>
      </c>
      <c r="AF618" t="s">
        <v>182</v>
      </c>
      <c r="AG618" t="s">
        <v>185</v>
      </c>
      <c r="AI618" t="s">
        <v>186</v>
      </c>
      <c r="AJ618" t="s">
        <v>2028</v>
      </c>
      <c r="AK618" t="s">
        <v>188</v>
      </c>
    </row>
    <row r="619" spans="1:37" x14ac:dyDescent="0.3">
      <c r="A619">
        <v>8008</v>
      </c>
      <c r="B619" s="207">
        <v>46121</v>
      </c>
      <c r="C619" t="s">
        <v>438</v>
      </c>
      <c r="D619" t="s">
        <v>2029</v>
      </c>
      <c r="E619" t="s">
        <v>2030</v>
      </c>
      <c r="F619" s="207">
        <v>46904</v>
      </c>
      <c r="G619">
        <v>2.5</v>
      </c>
      <c r="H619">
        <v>68293</v>
      </c>
      <c r="I619">
        <v>67362928</v>
      </c>
      <c r="J619">
        <v>3.3180000000000001</v>
      </c>
      <c r="K619">
        <v>10550</v>
      </c>
      <c r="L619">
        <v>72049115</v>
      </c>
      <c r="M619">
        <v>-311596</v>
      </c>
      <c r="N619">
        <v>4997783</v>
      </c>
      <c r="O619">
        <v>489220</v>
      </c>
      <c r="P619">
        <v>2992182</v>
      </c>
      <c r="Q619">
        <v>1516381</v>
      </c>
      <c r="S619">
        <v>0</v>
      </c>
      <c r="T619">
        <v>487360</v>
      </c>
      <c r="U619">
        <v>48710</v>
      </c>
      <c r="V619">
        <v>2.1415666666000002</v>
      </c>
      <c r="W619">
        <v>2.0731666666000002</v>
      </c>
      <c r="X619">
        <v>6.2661666666000002</v>
      </c>
      <c r="Z619">
        <v>10547.66</v>
      </c>
      <c r="AB619">
        <v>10554.08</v>
      </c>
      <c r="AD619">
        <v>10548.53</v>
      </c>
      <c r="AF619" t="s">
        <v>182</v>
      </c>
      <c r="AG619" t="s">
        <v>185</v>
      </c>
      <c r="AI619" t="s">
        <v>186</v>
      </c>
      <c r="AJ619" t="s">
        <v>2031</v>
      </c>
      <c r="AK619" t="s">
        <v>188</v>
      </c>
    </row>
    <row r="620" spans="1:37" x14ac:dyDescent="0.3">
      <c r="A620">
        <v>8008</v>
      </c>
      <c r="B620" s="207">
        <v>46121</v>
      </c>
      <c r="C620" t="s">
        <v>438</v>
      </c>
      <c r="D620" t="s">
        <v>2032</v>
      </c>
      <c r="E620" t="s">
        <v>2033</v>
      </c>
      <c r="F620" s="207">
        <v>46965</v>
      </c>
      <c r="G620">
        <v>2.5</v>
      </c>
      <c r="H620">
        <v>73845</v>
      </c>
      <c r="I620">
        <v>72287035</v>
      </c>
      <c r="J620">
        <v>3.3410000000000002</v>
      </c>
      <c r="K620">
        <v>10486</v>
      </c>
      <c r="L620">
        <v>77433866</v>
      </c>
      <c r="M620">
        <v>69106</v>
      </c>
      <c r="N620">
        <v>5077725</v>
      </c>
      <c r="O620">
        <v>499507</v>
      </c>
      <c r="P620">
        <v>606099</v>
      </c>
      <c r="Q620">
        <v>3972119</v>
      </c>
      <c r="S620">
        <v>0</v>
      </c>
      <c r="T620">
        <v>154760</v>
      </c>
      <c r="U620">
        <v>15450</v>
      </c>
      <c r="V620">
        <v>2.3086666666000002</v>
      </c>
      <c r="W620">
        <v>2.2354333333</v>
      </c>
      <c r="X620">
        <v>7.0929333333000004</v>
      </c>
      <c r="Z620">
        <v>10485.34</v>
      </c>
      <c r="AB620">
        <v>10490.35</v>
      </c>
      <c r="AD620">
        <v>10484.4</v>
      </c>
      <c r="AF620" t="s">
        <v>182</v>
      </c>
      <c r="AG620" t="s">
        <v>185</v>
      </c>
      <c r="AI620" t="s">
        <v>186</v>
      </c>
      <c r="AJ620" t="s">
        <v>2034</v>
      </c>
      <c r="AK620" t="s">
        <v>188</v>
      </c>
    </row>
    <row r="621" spans="1:37" x14ac:dyDescent="0.3">
      <c r="A621">
        <v>8008</v>
      </c>
      <c r="B621" s="207">
        <v>46121</v>
      </c>
      <c r="C621" t="s">
        <v>438</v>
      </c>
      <c r="D621" t="s">
        <v>2035</v>
      </c>
      <c r="E621" t="s">
        <v>2036</v>
      </c>
      <c r="F621" s="207">
        <v>46996</v>
      </c>
      <c r="G621">
        <v>2.5</v>
      </c>
      <c r="H621">
        <v>65905</v>
      </c>
      <c r="I621">
        <v>64271329</v>
      </c>
      <c r="J621">
        <v>3.355</v>
      </c>
      <c r="K621">
        <v>10454</v>
      </c>
      <c r="L621">
        <v>68897086</v>
      </c>
      <c r="M621">
        <v>241569</v>
      </c>
      <c r="N621">
        <v>4384188</v>
      </c>
      <c r="O621">
        <v>456135</v>
      </c>
      <c r="P621">
        <v>573601</v>
      </c>
      <c r="Q621">
        <v>3354452</v>
      </c>
      <c r="S621">
        <v>0</v>
      </c>
      <c r="T621">
        <v>144120</v>
      </c>
      <c r="U621">
        <v>14380</v>
      </c>
      <c r="V621">
        <v>2.3936000000000002</v>
      </c>
      <c r="W621">
        <v>2.3175666665999999</v>
      </c>
      <c r="X621">
        <v>7.5385333333000002</v>
      </c>
      <c r="Z621">
        <v>10452.52</v>
      </c>
      <c r="AB621">
        <v>10457.700000000001</v>
      </c>
      <c r="AD621">
        <v>10451.799999999999</v>
      </c>
      <c r="AF621" t="s">
        <v>182</v>
      </c>
      <c r="AG621" t="s">
        <v>185</v>
      </c>
      <c r="AI621" t="s">
        <v>186</v>
      </c>
      <c r="AJ621" t="s">
        <v>2037</v>
      </c>
      <c r="AK621" t="s">
        <v>188</v>
      </c>
    </row>
    <row r="622" spans="1:37" x14ac:dyDescent="0.3">
      <c r="A622">
        <v>8008</v>
      </c>
      <c r="B622" s="207">
        <v>46121</v>
      </c>
      <c r="C622" t="s">
        <v>438</v>
      </c>
      <c r="D622" t="s">
        <v>2038</v>
      </c>
      <c r="E622" t="s">
        <v>2039</v>
      </c>
      <c r="F622" s="207">
        <v>47057</v>
      </c>
      <c r="G622">
        <v>2.5</v>
      </c>
      <c r="H622">
        <v>7560</v>
      </c>
      <c r="I622">
        <v>7410555</v>
      </c>
      <c r="J622">
        <v>3.3929999999999998</v>
      </c>
      <c r="K622">
        <v>10386</v>
      </c>
      <c r="L622">
        <v>7851816</v>
      </c>
      <c r="M622">
        <v>-28446</v>
      </c>
      <c r="N622">
        <v>469707</v>
      </c>
      <c r="O622">
        <v>53042</v>
      </c>
      <c r="P622">
        <v>3191</v>
      </c>
      <c r="Q622">
        <v>413474</v>
      </c>
      <c r="S622">
        <v>0</v>
      </c>
      <c r="T622">
        <v>7860</v>
      </c>
      <c r="U622">
        <v>770</v>
      </c>
      <c r="V622">
        <v>2.5607000000000002</v>
      </c>
      <c r="W622">
        <v>2.4784666666000001</v>
      </c>
      <c r="X622">
        <v>8.4631333333000001</v>
      </c>
      <c r="Z622">
        <v>10385.35</v>
      </c>
      <c r="AB622">
        <v>10390.07</v>
      </c>
      <c r="AD622">
        <v>10384.06</v>
      </c>
      <c r="AF622" t="s">
        <v>182</v>
      </c>
      <c r="AG622" t="s">
        <v>185</v>
      </c>
      <c r="AI622" t="s">
        <v>186</v>
      </c>
      <c r="AJ622" t="s">
        <v>2040</v>
      </c>
      <c r="AK622" t="s">
        <v>188</v>
      </c>
    </row>
    <row r="623" spans="1:37" x14ac:dyDescent="0.3">
      <c r="A623">
        <v>8008</v>
      </c>
      <c r="B623" s="207">
        <v>46121</v>
      </c>
      <c r="C623" t="s">
        <v>438</v>
      </c>
      <c r="D623" t="s">
        <v>2041</v>
      </c>
      <c r="E623" t="s">
        <v>2042</v>
      </c>
      <c r="F623" s="207">
        <v>47087</v>
      </c>
      <c r="G623">
        <v>2.5</v>
      </c>
      <c r="H623">
        <v>9</v>
      </c>
      <c r="I623">
        <v>8634</v>
      </c>
      <c r="J623">
        <v>3.4239999999999999</v>
      </c>
      <c r="K623">
        <v>10350</v>
      </c>
      <c r="L623">
        <v>9315</v>
      </c>
      <c r="M623">
        <v>142</v>
      </c>
      <c r="N623">
        <v>539</v>
      </c>
      <c r="O623">
        <v>58</v>
      </c>
      <c r="P623">
        <v>0</v>
      </c>
      <c r="Q623">
        <v>481</v>
      </c>
      <c r="S623">
        <v>0</v>
      </c>
      <c r="T623">
        <v>0</v>
      </c>
      <c r="U623">
        <v>0</v>
      </c>
      <c r="V623">
        <v>2.6429</v>
      </c>
      <c r="W623">
        <v>2.5570333333000002</v>
      </c>
      <c r="X623">
        <v>8.9396666666000009</v>
      </c>
      <c r="Z623">
        <v>10348.48</v>
      </c>
      <c r="AB623">
        <v>10353.59</v>
      </c>
      <c r="AD623">
        <v>10348.209999999999</v>
      </c>
      <c r="AF623" t="s">
        <v>182</v>
      </c>
      <c r="AG623" t="s">
        <v>185</v>
      </c>
      <c r="AI623" t="s">
        <v>186</v>
      </c>
      <c r="AJ623" t="s">
        <v>2043</v>
      </c>
      <c r="AK623" t="s">
        <v>188</v>
      </c>
    </row>
    <row r="624" spans="1:37" x14ac:dyDescent="0.3">
      <c r="A624">
        <v>8008</v>
      </c>
      <c r="B624" s="207">
        <v>46121</v>
      </c>
      <c r="C624" t="s">
        <v>438</v>
      </c>
      <c r="D624" t="s">
        <v>2044</v>
      </c>
      <c r="E624" t="s">
        <v>2045</v>
      </c>
      <c r="F624" s="207">
        <v>47118</v>
      </c>
      <c r="G624">
        <v>2.5</v>
      </c>
      <c r="H624">
        <v>393689</v>
      </c>
      <c r="I624">
        <v>385397024</v>
      </c>
      <c r="J624">
        <v>3.4550000000000001</v>
      </c>
      <c r="K624">
        <v>10312</v>
      </c>
      <c r="L624">
        <v>405972092</v>
      </c>
      <c r="M624">
        <v>-2163089</v>
      </c>
      <c r="N624">
        <v>22738157</v>
      </c>
      <c r="O624">
        <v>2711449</v>
      </c>
      <c r="P624">
        <v>5613341</v>
      </c>
      <c r="Q624">
        <v>14413367</v>
      </c>
      <c r="S624">
        <v>0</v>
      </c>
      <c r="T624">
        <v>1165370</v>
      </c>
      <c r="U624">
        <v>116420</v>
      </c>
      <c r="V624">
        <v>2.7278666666000002</v>
      </c>
      <c r="W624">
        <v>2.6379999999999999</v>
      </c>
      <c r="X624">
        <v>9.4481333332999995</v>
      </c>
      <c r="Z624">
        <v>10310.89</v>
      </c>
      <c r="AB624">
        <v>10315.32</v>
      </c>
      <c r="AD624">
        <v>10310.620000000001</v>
      </c>
      <c r="AF624" t="s">
        <v>182</v>
      </c>
      <c r="AG624" t="s">
        <v>185</v>
      </c>
      <c r="AI624" t="s">
        <v>186</v>
      </c>
      <c r="AJ624" t="s">
        <v>2046</v>
      </c>
      <c r="AK624" t="s">
        <v>188</v>
      </c>
    </row>
    <row r="625" spans="1:37" x14ac:dyDescent="0.3">
      <c r="A625">
        <v>8008</v>
      </c>
      <c r="B625" s="207">
        <v>46121</v>
      </c>
      <c r="C625" t="s">
        <v>438</v>
      </c>
      <c r="D625" t="s">
        <v>2047</v>
      </c>
      <c r="E625" t="s">
        <v>2048</v>
      </c>
      <c r="F625" s="207">
        <v>47149</v>
      </c>
      <c r="G625">
        <v>2.5</v>
      </c>
      <c r="H625">
        <v>4963</v>
      </c>
      <c r="I625">
        <v>4852155</v>
      </c>
      <c r="J625">
        <v>3.4849999999999999</v>
      </c>
      <c r="K625">
        <v>10274</v>
      </c>
      <c r="L625">
        <v>5098986</v>
      </c>
      <c r="M625">
        <v>-28816</v>
      </c>
      <c r="N625">
        <v>275647</v>
      </c>
      <c r="O625">
        <v>34435</v>
      </c>
      <c r="P625">
        <v>37921</v>
      </c>
      <c r="Q625">
        <v>203291</v>
      </c>
      <c r="S625">
        <v>0</v>
      </c>
      <c r="T625">
        <v>10120</v>
      </c>
      <c r="U625">
        <v>1000</v>
      </c>
      <c r="V625">
        <v>2.8128000000000002</v>
      </c>
      <c r="W625">
        <v>2.7187999999999999</v>
      </c>
      <c r="X625">
        <v>9.9726666666000003</v>
      </c>
      <c r="Z625">
        <v>10273.299999999999</v>
      </c>
      <c r="AB625">
        <v>10277.01</v>
      </c>
      <c r="AD625">
        <v>10272.74</v>
      </c>
      <c r="AF625" t="s">
        <v>182</v>
      </c>
      <c r="AG625" t="s">
        <v>185</v>
      </c>
      <c r="AI625" t="s">
        <v>186</v>
      </c>
      <c r="AJ625" t="s">
        <v>2049</v>
      </c>
      <c r="AK625" t="s">
        <v>188</v>
      </c>
    </row>
    <row r="626" spans="1:37" x14ac:dyDescent="0.3">
      <c r="A626">
        <v>8008</v>
      </c>
      <c r="B626" s="207">
        <v>46121</v>
      </c>
      <c r="C626" t="s">
        <v>438</v>
      </c>
      <c r="D626" t="s">
        <v>2050</v>
      </c>
      <c r="E626" t="s">
        <v>2051</v>
      </c>
      <c r="F626" s="207">
        <v>47177</v>
      </c>
      <c r="G626">
        <v>2.5</v>
      </c>
      <c r="H626">
        <v>23881</v>
      </c>
      <c r="I626">
        <v>22929413</v>
      </c>
      <c r="J626">
        <v>3.512</v>
      </c>
      <c r="K626">
        <v>10239</v>
      </c>
      <c r="L626">
        <v>24451755</v>
      </c>
      <c r="M626">
        <v>243679</v>
      </c>
      <c r="N626">
        <v>1278663</v>
      </c>
      <c r="O626">
        <v>136769</v>
      </c>
      <c r="P626">
        <v>1647</v>
      </c>
      <c r="Q626">
        <v>1140247</v>
      </c>
      <c r="S626">
        <v>0</v>
      </c>
      <c r="T626">
        <v>19360</v>
      </c>
      <c r="U626">
        <v>1930</v>
      </c>
      <c r="V626">
        <v>2.8895</v>
      </c>
      <c r="W626">
        <v>2.7916666665999998</v>
      </c>
      <c r="X626">
        <v>10.4600333333</v>
      </c>
      <c r="Z626">
        <v>10239.19</v>
      </c>
      <c r="AB626">
        <v>10242.129999999999</v>
      </c>
      <c r="AD626">
        <v>10238.34</v>
      </c>
      <c r="AF626" t="s">
        <v>182</v>
      </c>
      <c r="AG626" t="s">
        <v>185</v>
      </c>
      <c r="AI626" t="s">
        <v>186</v>
      </c>
      <c r="AJ626" t="s">
        <v>2052</v>
      </c>
      <c r="AK626" t="s">
        <v>188</v>
      </c>
    </row>
    <row r="627" spans="1:37" x14ac:dyDescent="0.3">
      <c r="A627">
        <v>8008</v>
      </c>
      <c r="B627" s="207">
        <v>46121</v>
      </c>
      <c r="C627" t="s">
        <v>438</v>
      </c>
      <c r="D627" t="s">
        <v>2053</v>
      </c>
      <c r="E627" t="s">
        <v>2054</v>
      </c>
      <c r="F627" s="207">
        <v>47208</v>
      </c>
      <c r="G627">
        <v>2.5</v>
      </c>
      <c r="H627">
        <v>112413</v>
      </c>
      <c r="I627">
        <v>108283477</v>
      </c>
      <c r="J627">
        <v>3.5419999999999998</v>
      </c>
      <c r="K627">
        <v>10201</v>
      </c>
      <c r="L627">
        <v>114672500</v>
      </c>
      <c r="M627">
        <v>618194</v>
      </c>
      <c r="N627">
        <v>5770829</v>
      </c>
      <c r="O627">
        <v>715591</v>
      </c>
      <c r="P627">
        <v>1233442</v>
      </c>
      <c r="Q627">
        <v>3821796</v>
      </c>
      <c r="S627">
        <v>0</v>
      </c>
      <c r="T627">
        <v>272820</v>
      </c>
      <c r="U627">
        <v>27250</v>
      </c>
      <c r="V627">
        <v>2.9744000000000002</v>
      </c>
      <c r="W627">
        <v>2.8720666665999999</v>
      </c>
      <c r="X627">
        <v>11.0145666666</v>
      </c>
      <c r="Z627">
        <v>10202.31</v>
      </c>
      <c r="AB627">
        <v>10202.379999999999</v>
      </c>
      <c r="AD627">
        <v>10199.969999999999</v>
      </c>
      <c r="AF627" t="s">
        <v>182</v>
      </c>
      <c r="AG627" t="s">
        <v>185</v>
      </c>
      <c r="AI627" t="s">
        <v>186</v>
      </c>
      <c r="AJ627" t="s">
        <v>2055</v>
      </c>
      <c r="AK627" t="s">
        <v>188</v>
      </c>
    </row>
    <row r="628" spans="1:37" x14ac:dyDescent="0.3">
      <c r="A628">
        <v>8008</v>
      </c>
      <c r="B628" s="207">
        <v>46121</v>
      </c>
      <c r="C628" t="s">
        <v>438</v>
      </c>
      <c r="D628" t="s">
        <v>2056</v>
      </c>
      <c r="E628" t="s">
        <v>2057</v>
      </c>
      <c r="F628" s="207">
        <v>47238</v>
      </c>
      <c r="G628">
        <v>2.5</v>
      </c>
      <c r="H628">
        <v>13615</v>
      </c>
      <c r="I628">
        <v>13289589</v>
      </c>
      <c r="J628">
        <v>3.552</v>
      </c>
      <c r="K628">
        <v>10169</v>
      </c>
      <c r="L628">
        <v>13845093</v>
      </c>
      <c r="M628">
        <v>-114414</v>
      </c>
      <c r="N628">
        <v>669918</v>
      </c>
      <c r="O628">
        <v>95353</v>
      </c>
      <c r="P628">
        <v>5758</v>
      </c>
      <c r="Q628">
        <v>568807</v>
      </c>
      <c r="S628">
        <v>0</v>
      </c>
      <c r="T628">
        <v>14150</v>
      </c>
      <c r="U628">
        <v>1410</v>
      </c>
      <c r="V628">
        <v>3.0566</v>
      </c>
      <c r="W628">
        <v>2.9514999999999998</v>
      </c>
      <c r="X628">
        <v>11.544766666599999</v>
      </c>
      <c r="Z628">
        <v>10169.42</v>
      </c>
      <c r="AB628">
        <v>10170.39</v>
      </c>
      <c r="AD628">
        <v>10167.92</v>
      </c>
      <c r="AF628" t="s">
        <v>182</v>
      </c>
      <c r="AG628" t="s">
        <v>185</v>
      </c>
      <c r="AI628" t="s">
        <v>186</v>
      </c>
      <c r="AJ628" t="s">
        <v>2058</v>
      </c>
      <c r="AK628" t="s">
        <v>188</v>
      </c>
    </row>
    <row r="629" spans="1:37" x14ac:dyDescent="0.3">
      <c r="A629">
        <v>8008</v>
      </c>
      <c r="B629" s="207">
        <v>46121</v>
      </c>
      <c r="C629" t="s">
        <v>438</v>
      </c>
      <c r="D629" t="s">
        <v>2059</v>
      </c>
      <c r="E629" t="s">
        <v>2060</v>
      </c>
      <c r="F629" s="207">
        <v>47299</v>
      </c>
      <c r="G629">
        <v>2.5</v>
      </c>
      <c r="H629">
        <v>30305</v>
      </c>
      <c r="I629">
        <v>29512245</v>
      </c>
      <c r="J629">
        <v>3.5569999999999999</v>
      </c>
      <c r="K629">
        <v>10107</v>
      </c>
      <c r="L629">
        <v>30629263</v>
      </c>
      <c r="M629">
        <v>-243178</v>
      </c>
      <c r="N629">
        <v>1360196</v>
      </c>
      <c r="O629">
        <v>210827</v>
      </c>
      <c r="P629">
        <v>293563</v>
      </c>
      <c r="Q629">
        <v>855806</v>
      </c>
      <c r="S629">
        <v>0</v>
      </c>
      <c r="T629">
        <v>70590</v>
      </c>
      <c r="U629">
        <v>7040</v>
      </c>
      <c r="V629">
        <v>3.2237666666</v>
      </c>
      <c r="W629">
        <v>3.1140666665999999</v>
      </c>
      <c r="X629">
        <v>12.649900000000001</v>
      </c>
      <c r="Z629">
        <v>10107.32</v>
      </c>
      <c r="AB629">
        <v>10109.91</v>
      </c>
      <c r="AD629">
        <v>10106.370000000001</v>
      </c>
      <c r="AF629" t="s">
        <v>182</v>
      </c>
      <c r="AG629" t="s">
        <v>185</v>
      </c>
      <c r="AI629" t="s">
        <v>186</v>
      </c>
      <c r="AJ629" t="s">
        <v>2061</v>
      </c>
      <c r="AK629" t="s">
        <v>188</v>
      </c>
    </row>
    <row r="630" spans="1:37" x14ac:dyDescent="0.3">
      <c r="A630">
        <v>8008</v>
      </c>
      <c r="B630" s="207">
        <v>46121</v>
      </c>
      <c r="C630" t="s">
        <v>438</v>
      </c>
      <c r="D630" t="s">
        <v>2062</v>
      </c>
      <c r="E630" t="s">
        <v>2063</v>
      </c>
      <c r="F630" s="207">
        <v>47330</v>
      </c>
      <c r="G630">
        <v>2.5</v>
      </c>
      <c r="H630">
        <v>36804</v>
      </c>
      <c r="I630">
        <v>34447225</v>
      </c>
      <c r="J630">
        <v>3.5590000000000002</v>
      </c>
      <c r="K630">
        <v>10077</v>
      </c>
      <c r="L630">
        <v>37087390</v>
      </c>
      <c r="M630">
        <v>1068836</v>
      </c>
      <c r="N630">
        <v>1571329</v>
      </c>
      <c r="O630">
        <v>112054</v>
      </c>
      <c r="P630">
        <v>171231</v>
      </c>
      <c r="Q630">
        <v>1288044</v>
      </c>
      <c r="S630">
        <v>0</v>
      </c>
      <c r="T630">
        <v>39640</v>
      </c>
      <c r="U630">
        <v>3930</v>
      </c>
      <c r="V630">
        <v>3.3086666666000002</v>
      </c>
      <c r="W630">
        <v>3.1964999999999999</v>
      </c>
      <c r="X630">
        <v>13.2372</v>
      </c>
      <c r="Z630">
        <v>10076.129999999999</v>
      </c>
      <c r="AB630">
        <v>10079.75</v>
      </c>
      <c r="AD630">
        <v>10075.48</v>
      </c>
      <c r="AF630" t="s">
        <v>182</v>
      </c>
      <c r="AG630" t="s">
        <v>185</v>
      </c>
      <c r="AI630" t="s">
        <v>186</v>
      </c>
      <c r="AJ630" t="s">
        <v>2064</v>
      </c>
      <c r="AK630" t="s">
        <v>188</v>
      </c>
    </row>
    <row r="631" spans="1:37" x14ac:dyDescent="0.3">
      <c r="A631">
        <v>8008</v>
      </c>
      <c r="B631" s="207">
        <v>46121</v>
      </c>
      <c r="C631" t="s">
        <v>438</v>
      </c>
      <c r="D631" t="s">
        <v>2065</v>
      </c>
      <c r="E631" t="s">
        <v>2066</v>
      </c>
      <c r="F631" s="207">
        <v>47422</v>
      </c>
      <c r="G631">
        <v>2.5</v>
      </c>
      <c r="H631">
        <v>15147</v>
      </c>
      <c r="I631">
        <v>14706098</v>
      </c>
      <c r="J631">
        <v>3.5649999999999999</v>
      </c>
      <c r="K631">
        <v>9986</v>
      </c>
      <c r="L631">
        <v>15125794</v>
      </c>
      <c r="M631">
        <v>-129005</v>
      </c>
      <c r="N631">
        <v>548701</v>
      </c>
      <c r="O631">
        <v>104770</v>
      </c>
      <c r="P631">
        <v>378683</v>
      </c>
      <c r="Q631">
        <v>65248</v>
      </c>
      <c r="S631">
        <v>0</v>
      </c>
      <c r="T631">
        <v>67670</v>
      </c>
      <c r="U631">
        <v>6760</v>
      </c>
      <c r="V631">
        <v>3.5607000000000002</v>
      </c>
      <c r="W631">
        <v>3.4400333333000002</v>
      </c>
      <c r="X631">
        <v>15.0791333333</v>
      </c>
      <c r="Z631">
        <v>9983.99</v>
      </c>
      <c r="AB631">
        <v>9990.6</v>
      </c>
      <c r="AD631">
        <v>9984.33</v>
      </c>
      <c r="AF631" t="s">
        <v>182</v>
      </c>
      <c r="AG631" t="s">
        <v>185</v>
      </c>
      <c r="AI631" t="s">
        <v>186</v>
      </c>
      <c r="AJ631" t="s">
        <v>2067</v>
      </c>
      <c r="AK631" t="s">
        <v>188</v>
      </c>
    </row>
    <row r="632" spans="1:37" x14ac:dyDescent="0.3">
      <c r="A632">
        <v>8008</v>
      </c>
      <c r="B632" s="207">
        <v>46121</v>
      </c>
      <c r="C632" t="s">
        <v>438</v>
      </c>
      <c r="D632" t="s">
        <v>2068</v>
      </c>
      <c r="E632" t="s">
        <v>2069</v>
      </c>
      <c r="F632" s="207">
        <v>47483</v>
      </c>
      <c r="G632">
        <v>2.5</v>
      </c>
      <c r="H632">
        <v>121004</v>
      </c>
      <c r="I632">
        <v>117268686</v>
      </c>
      <c r="J632">
        <v>3.57</v>
      </c>
      <c r="K632">
        <v>9926</v>
      </c>
      <c r="L632">
        <v>120108570</v>
      </c>
      <c r="M632">
        <v>-1027129</v>
      </c>
      <c r="N632">
        <v>3867013</v>
      </c>
      <c r="O632">
        <v>833523</v>
      </c>
      <c r="P632">
        <v>2066889</v>
      </c>
      <c r="Q632">
        <v>966601</v>
      </c>
      <c r="S632">
        <v>0</v>
      </c>
      <c r="T632">
        <v>406040</v>
      </c>
      <c r="U632">
        <v>40590</v>
      </c>
      <c r="V632">
        <v>3.7278666666000002</v>
      </c>
      <c r="W632">
        <v>3.6006666666</v>
      </c>
      <c r="X632">
        <v>16.380533333300001</v>
      </c>
      <c r="Z632">
        <v>9921.9599999999991</v>
      </c>
      <c r="AB632">
        <v>9932.41</v>
      </c>
      <c r="AD632">
        <v>9924.82</v>
      </c>
      <c r="AF632" t="s">
        <v>182</v>
      </c>
      <c r="AG632" t="s">
        <v>185</v>
      </c>
      <c r="AI632" t="s">
        <v>186</v>
      </c>
      <c r="AJ632" t="s">
        <v>2070</v>
      </c>
      <c r="AK632" t="s">
        <v>188</v>
      </c>
    </row>
    <row r="633" spans="1:37" x14ac:dyDescent="0.3">
      <c r="A633">
        <v>8008</v>
      </c>
      <c r="B633" s="207">
        <v>46121</v>
      </c>
      <c r="C633" t="s">
        <v>438</v>
      </c>
      <c r="D633" t="s">
        <v>2071</v>
      </c>
      <c r="E633" t="s">
        <v>2072</v>
      </c>
      <c r="F633" s="207">
        <v>47514</v>
      </c>
      <c r="G633">
        <v>2.5</v>
      </c>
      <c r="H633">
        <v>13867</v>
      </c>
      <c r="I633">
        <v>13422953</v>
      </c>
      <c r="J633">
        <v>3.5739999999999998</v>
      </c>
      <c r="K633">
        <v>9895</v>
      </c>
      <c r="L633">
        <v>13721395</v>
      </c>
      <c r="M633">
        <v>-114734</v>
      </c>
      <c r="N633">
        <v>413176</v>
      </c>
      <c r="O633">
        <v>95321</v>
      </c>
      <c r="P633">
        <v>211362</v>
      </c>
      <c r="Q633">
        <v>106493</v>
      </c>
      <c r="S633">
        <v>0</v>
      </c>
      <c r="T633">
        <v>42920</v>
      </c>
      <c r="U633">
        <v>4280</v>
      </c>
      <c r="V633">
        <v>3.8128000000000002</v>
      </c>
      <c r="W633">
        <v>3.6819999999999999</v>
      </c>
      <c r="X633">
        <v>17.0657</v>
      </c>
      <c r="Z633">
        <v>9889.7000000000007</v>
      </c>
      <c r="AB633">
        <v>9902.9</v>
      </c>
      <c r="AD633">
        <v>9894.7999999999993</v>
      </c>
      <c r="AF633" t="s">
        <v>182</v>
      </c>
      <c r="AG633" t="s">
        <v>185</v>
      </c>
      <c r="AI633" t="s">
        <v>186</v>
      </c>
      <c r="AJ633" t="s">
        <v>2073</v>
      </c>
      <c r="AK633" t="s">
        <v>188</v>
      </c>
    </row>
    <row r="634" spans="1:37" x14ac:dyDescent="0.3">
      <c r="A634">
        <v>8008</v>
      </c>
      <c r="B634" s="207">
        <v>46121</v>
      </c>
      <c r="C634" t="s">
        <v>438</v>
      </c>
      <c r="D634" t="s">
        <v>2074</v>
      </c>
      <c r="E634" t="s">
        <v>2075</v>
      </c>
      <c r="F634" s="207">
        <v>47542</v>
      </c>
      <c r="G634">
        <v>2.5</v>
      </c>
      <c r="H634">
        <v>2308</v>
      </c>
      <c r="I634">
        <v>2231407</v>
      </c>
      <c r="J634">
        <v>3.577</v>
      </c>
      <c r="K634">
        <v>9868</v>
      </c>
      <c r="L634">
        <v>2277533</v>
      </c>
      <c r="M634">
        <v>-18143</v>
      </c>
      <c r="N634">
        <v>64269</v>
      </c>
      <c r="O634">
        <v>15835</v>
      </c>
      <c r="P634">
        <v>7052</v>
      </c>
      <c r="Q634">
        <v>41382</v>
      </c>
      <c r="S634">
        <v>0</v>
      </c>
      <c r="T634">
        <v>3180</v>
      </c>
      <c r="U634">
        <v>300</v>
      </c>
      <c r="V634">
        <v>3.8895</v>
      </c>
      <c r="W634">
        <v>3.7553666666000001</v>
      </c>
      <c r="X634">
        <v>17.698599999999999</v>
      </c>
      <c r="Z634">
        <v>9861.08</v>
      </c>
      <c r="AB634">
        <v>9876.7199999999993</v>
      </c>
      <c r="AD634">
        <v>9867.75</v>
      </c>
      <c r="AF634" t="s">
        <v>182</v>
      </c>
      <c r="AG634" t="s">
        <v>185</v>
      </c>
      <c r="AI634" t="s">
        <v>186</v>
      </c>
      <c r="AJ634" t="s">
        <v>2076</v>
      </c>
      <c r="AK634" t="s">
        <v>188</v>
      </c>
    </row>
    <row r="635" spans="1:37" x14ac:dyDescent="0.3">
      <c r="A635">
        <v>8008</v>
      </c>
      <c r="B635" s="207">
        <v>46121</v>
      </c>
      <c r="C635" t="s">
        <v>438</v>
      </c>
      <c r="D635" t="s">
        <v>2077</v>
      </c>
      <c r="E635" t="s">
        <v>2078</v>
      </c>
      <c r="F635" s="207">
        <v>47573</v>
      </c>
      <c r="G635">
        <v>2.5</v>
      </c>
      <c r="H635">
        <v>2040</v>
      </c>
      <c r="I635">
        <v>1969728</v>
      </c>
      <c r="J635">
        <v>3.5790000000000002</v>
      </c>
      <c r="K635">
        <v>9838</v>
      </c>
      <c r="L635">
        <v>2006952</v>
      </c>
      <c r="M635">
        <v>-15191</v>
      </c>
      <c r="N635">
        <v>52415</v>
      </c>
      <c r="O635">
        <v>13967</v>
      </c>
      <c r="P635">
        <v>25296</v>
      </c>
      <c r="Q635">
        <v>13152</v>
      </c>
      <c r="S635">
        <v>0</v>
      </c>
      <c r="T635">
        <v>5490</v>
      </c>
      <c r="U635">
        <v>540</v>
      </c>
      <c r="V635">
        <v>3.9744000000000002</v>
      </c>
      <c r="W635">
        <v>3.8365</v>
      </c>
      <c r="X635">
        <v>18.414633333299999</v>
      </c>
      <c r="Z635">
        <v>9830.84</v>
      </c>
      <c r="AB635">
        <v>9847.52</v>
      </c>
      <c r="AD635">
        <v>9837.6299999999992</v>
      </c>
      <c r="AF635" t="s">
        <v>182</v>
      </c>
      <c r="AG635" t="s">
        <v>185</v>
      </c>
      <c r="AI635" t="s">
        <v>186</v>
      </c>
      <c r="AJ635" t="s">
        <v>2079</v>
      </c>
      <c r="AK635" t="s">
        <v>188</v>
      </c>
    </row>
    <row r="636" spans="1:37" x14ac:dyDescent="0.3">
      <c r="A636">
        <v>8008</v>
      </c>
      <c r="B636" s="207">
        <v>46121</v>
      </c>
      <c r="C636" t="s">
        <v>438</v>
      </c>
      <c r="D636" t="s">
        <v>2080</v>
      </c>
      <c r="E636" t="s">
        <v>2081</v>
      </c>
      <c r="F636" s="207">
        <v>47603</v>
      </c>
      <c r="G636">
        <v>2.5</v>
      </c>
      <c r="H636">
        <v>90258</v>
      </c>
      <c r="I636">
        <v>87046497</v>
      </c>
      <c r="J636">
        <v>3.5870000000000002</v>
      </c>
      <c r="K636">
        <v>9807</v>
      </c>
      <c r="L636">
        <v>88516018</v>
      </c>
      <c r="M636">
        <v>-661836</v>
      </c>
      <c r="N636">
        <v>2131357</v>
      </c>
      <c r="O636">
        <v>616706</v>
      </c>
      <c r="P636">
        <v>1094044</v>
      </c>
      <c r="Q636">
        <v>420607</v>
      </c>
      <c r="S636">
        <v>0</v>
      </c>
      <c r="T636">
        <v>239470</v>
      </c>
      <c r="U636">
        <v>23920</v>
      </c>
      <c r="V636">
        <v>4.0566000000000004</v>
      </c>
      <c r="W636">
        <v>3.9158333333000002</v>
      </c>
      <c r="X636">
        <v>19.0975</v>
      </c>
      <c r="Z636">
        <v>9798.31</v>
      </c>
      <c r="AB636">
        <v>9816.0499999999993</v>
      </c>
      <c r="AD636">
        <v>9806.75</v>
      </c>
      <c r="AF636" t="s">
        <v>182</v>
      </c>
      <c r="AG636" t="s">
        <v>185</v>
      </c>
      <c r="AI636" t="s">
        <v>186</v>
      </c>
      <c r="AJ636" t="s">
        <v>2082</v>
      </c>
      <c r="AK636" t="s">
        <v>188</v>
      </c>
    </row>
    <row r="637" spans="1:37" x14ac:dyDescent="0.3">
      <c r="A637">
        <v>8008</v>
      </c>
      <c r="B637" s="207">
        <v>46121</v>
      </c>
      <c r="C637" t="s">
        <v>438</v>
      </c>
      <c r="D637" t="s">
        <v>2083</v>
      </c>
      <c r="E637" t="s">
        <v>2084</v>
      </c>
      <c r="F637" s="207">
        <v>47634</v>
      </c>
      <c r="G637">
        <v>2.5</v>
      </c>
      <c r="H637">
        <v>241290</v>
      </c>
      <c r="I637">
        <v>232398162</v>
      </c>
      <c r="J637">
        <v>3.597</v>
      </c>
      <c r="K637">
        <v>9773</v>
      </c>
      <c r="L637">
        <v>235812716</v>
      </c>
      <c r="M637">
        <v>-1765853</v>
      </c>
      <c r="N637">
        <v>5180407</v>
      </c>
      <c r="O637">
        <v>1645205</v>
      </c>
      <c r="P637">
        <v>2827306</v>
      </c>
      <c r="Q637">
        <v>707896</v>
      </c>
      <c r="S637">
        <v>0</v>
      </c>
      <c r="T637">
        <v>626140</v>
      </c>
      <c r="U637">
        <v>62610</v>
      </c>
      <c r="V637">
        <v>4.1415666666000002</v>
      </c>
      <c r="W637">
        <v>3.9982333333</v>
      </c>
      <c r="X637">
        <v>19.807133333300001</v>
      </c>
      <c r="Z637">
        <v>9764.9</v>
      </c>
      <c r="AB637">
        <v>9781.7800000000007</v>
      </c>
      <c r="AD637">
        <v>9773.89</v>
      </c>
      <c r="AF637" t="s">
        <v>182</v>
      </c>
      <c r="AG637" t="s">
        <v>185</v>
      </c>
      <c r="AI637" t="s">
        <v>186</v>
      </c>
      <c r="AJ637" t="s">
        <v>2085</v>
      </c>
      <c r="AK637" t="s">
        <v>188</v>
      </c>
    </row>
    <row r="638" spans="1:37" x14ac:dyDescent="0.3">
      <c r="A638">
        <v>8008</v>
      </c>
      <c r="B638" s="207">
        <v>46121</v>
      </c>
      <c r="C638" t="s">
        <v>438</v>
      </c>
      <c r="D638" t="s">
        <v>2086</v>
      </c>
      <c r="E638" t="s">
        <v>2087</v>
      </c>
      <c r="F638" s="207">
        <v>47664</v>
      </c>
      <c r="G638">
        <v>2.5</v>
      </c>
      <c r="H638">
        <v>119120</v>
      </c>
      <c r="I638">
        <v>114326359</v>
      </c>
      <c r="J638">
        <v>3.6059999999999999</v>
      </c>
      <c r="K638">
        <v>9741</v>
      </c>
      <c r="L638">
        <v>116034792</v>
      </c>
      <c r="M638">
        <v>-602331</v>
      </c>
      <c r="N638">
        <v>2310764</v>
      </c>
      <c r="O638">
        <v>777396</v>
      </c>
      <c r="P638">
        <v>948130</v>
      </c>
      <c r="Q638">
        <v>585238</v>
      </c>
      <c r="S638">
        <v>0</v>
      </c>
      <c r="T638">
        <v>241560</v>
      </c>
      <c r="U638">
        <v>24150</v>
      </c>
      <c r="V638">
        <v>4.2237666666000004</v>
      </c>
      <c r="W638">
        <v>4.0778666666000003</v>
      </c>
      <c r="X638">
        <v>20.509933333300001</v>
      </c>
      <c r="Z638">
        <v>9732.91</v>
      </c>
      <c r="AB638">
        <v>9748.8799999999992</v>
      </c>
      <c r="AD638">
        <v>9742.0499999999993</v>
      </c>
      <c r="AF638" t="s">
        <v>182</v>
      </c>
      <c r="AG638" t="s">
        <v>185</v>
      </c>
      <c r="AI638" t="s">
        <v>186</v>
      </c>
      <c r="AJ638" t="s">
        <v>2088</v>
      </c>
      <c r="AK638" t="s">
        <v>188</v>
      </c>
    </row>
    <row r="639" spans="1:37" x14ac:dyDescent="0.3">
      <c r="A639">
        <v>8008</v>
      </c>
      <c r="B639" s="207">
        <v>46121</v>
      </c>
      <c r="C639" t="s">
        <v>438</v>
      </c>
      <c r="D639" t="s">
        <v>2089</v>
      </c>
      <c r="E639" t="s">
        <v>2090</v>
      </c>
      <c r="F639" s="207">
        <v>47695</v>
      </c>
      <c r="G639">
        <v>2.5</v>
      </c>
      <c r="H639">
        <v>4970</v>
      </c>
      <c r="I639">
        <v>4775312</v>
      </c>
      <c r="J639">
        <v>3.6160000000000001</v>
      </c>
      <c r="K639">
        <v>9707</v>
      </c>
      <c r="L639">
        <v>4824379</v>
      </c>
      <c r="M639">
        <v>-36730</v>
      </c>
      <c r="N639">
        <v>85797</v>
      </c>
      <c r="O639">
        <v>33748</v>
      </c>
      <c r="P639">
        <v>26346</v>
      </c>
      <c r="Q639">
        <v>25703</v>
      </c>
      <c r="S639">
        <v>0</v>
      </c>
      <c r="T639">
        <v>8400</v>
      </c>
      <c r="U639">
        <v>830</v>
      </c>
      <c r="V639">
        <v>4.3086666665999998</v>
      </c>
      <c r="W639">
        <v>4.1598666666000002</v>
      </c>
      <c r="X639">
        <v>21.252233333300001</v>
      </c>
      <c r="Z639">
        <v>9699.2199999999993</v>
      </c>
      <c r="AB639">
        <v>9715.0499999999993</v>
      </c>
      <c r="AD639">
        <v>9708.91</v>
      </c>
      <c r="AF639" t="s">
        <v>182</v>
      </c>
      <c r="AG639" t="s">
        <v>185</v>
      </c>
      <c r="AI639" t="s">
        <v>186</v>
      </c>
      <c r="AJ639" t="s">
        <v>2091</v>
      </c>
      <c r="AK639" t="s">
        <v>188</v>
      </c>
    </row>
    <row r="640" spans="1:37" x14ac:dyDescent="0.3">
      <c r="A640">
        <v>8008</v>
      </c>
      <c r="B640" s="207">
        <v>46121</v>
      </c>
      <c r="C640" t="s">
        <v>438</v>
      </c>
      <c r="D640" t="s">
        <v>2092</v>
      </c>
      <c r="E640" t="s">
        <v>2093</v>
      </c>
      <c r="F640" s="207">
        <v>47756</v>
      </c>
      <c r="G640">
        <v>2.5</v>
      </c>
      <c r="H640">
        <v>10989</v>
      </c>
      <c r="I640">
        <v>10532832</v>
      </c>
      <c r="J640">
        <v>3.629</v>
      </c>
      <c r="K640">
        <v>9644</v>
      </c>
      <c r="L640">
        <v>10597791</v>
      </c>
      <c r="M640">
        <v>-78707</v>
      </c>
      <c r="N640">
        <v>143666</v>
      </c>
      <c r="O640">
        <v>74311</v>
      </c>
      <c r="P640">
        <v>15161</v>
      </c>
      <c r="Q640">
        <v>54194</v>
      </c>
      <c r="S640">
        <v>0</v>
      </c>
      <c r="T640">
        <v>12520</v>
      </c>
      <c r="U640">
        <v>1250</v>
      </c>
      <c r="V640">
        <v>4.4757999999999996</v>
      </c>
      <c r="W640">
        <v>4.3209999999999997</v>
      </c>
      <c r="X640">
        <v>22.763233333300001</v>
      </c>
      <c r="Z640">
        <v>9636.26</v>
      </c>
      <c r="AB640">
        <v>9648.01</v>
      </c>
      <c r="AD640">
        <v>9648.77</v>
      </c>
      <c r="AF640" t="s">
        <v>182</v>
      </c>
      <c r="AG640" t="s">
        <v>185</v>
      </c>
      <c r="AI640" t="s">
        <v>186</v>
      </c>
      <c r="AJ640" t="s">
        <v>2094</v>
      </c>
      <c r="AK640" t="s">
        <v>188</v>
      </c>
    </row>
    <row r="641" spans="1:37" x14ac:dyDescent="0.3">
      <c r="A641">
        <v>8008</v>
      </c>
      <c r="B641" s="207">
        <v>46121</v>
      </c>
      <c r="C641" t="s">
        <v>438</v>
      </c>
      <c r="D641" t="s">
        <v>2095</v>
      </c>
      <c r="E641" t="s">
        <v>2096</v>
      </c>
      <c r="F641" s="207">
        <v>47787</v>
      </c>
      <c r="G641">
        <v>2</v>
      </c>
      <c r="H641">
        <v>14035</v>
      </c>
      <c r="I641">
        <v>13120348</v>
      </c>
      <c r="J641">
        <v>3.6419999999999999</v>
      </c>
      <c r="K641">
        <v>9377</v>
      </c>
      <c r="L641">
        <v>13160619</v>
      </c>
      <c r="M641">
        <v>-82859</v>
      </c>
      <c r="N641">
        <v>123130</v>
      </c>
      <c r="O641">
        <v>75841</v>
      </c>
      <c r="P641">
        <v>25956</v>
      </c>
      <c r="Q641">
        <v>21333</v>
      </c>
      <c r="S641">
        <v>0</v>
      </c>
      <c r="T641">
        <v>14250</v>
      </c>
      <c r="U641">
        <v>1420</v>
      </c>
      <c r="V641">
        <v>4.5606999999999998</v>
      </c>
      <c r="W641">
        <v>4.4024333333000003</v>
      </c>
      <c r="X641">
        <v>23.5527666666</v>
      </c>
      <c r="Z641">
        <v>9371.44</v>
      </c>
      <c r="AB641">
        <v>9381.6299999999992</v>
      </c>
      <c r="AD641">
        <v>9379.2900000000009</v>
      </c>
      <c r="AF641" t="s">
        <v>182</v>
      </c>
      <c r="AG641" t="s">
        <v>185</v>
      </c>
      <c r="AI641" t="s">
        <v>186</v>
      </c>
      <c r="AJ641" t="s">
        <v>2097</v>
      </c>
      <c r="AK641" t="s">
        <v>188</v>
      </c>
    </row>
    <row r="642" spans="1:37" x14ac:dyDescent="0.3">
      <c r="A642">
        <v>8008</v>
      </c>
      <c r="B642" s="207">
        <v>46121</v>
      </c>
      <c r="C642" t="s">
        <v>438</v>
      </c>
      <c r="D642" t="s">
        <v>2098</v>
      </c>
      <c r="E642" t="s">
        <v>2099</v>
      </c>
      <c r="F642" s="207">
        <v>47817</v>
      </c>
      <c r="G642">
        <v>2</v>
      </c>
      <c r="H642">
        <v>6</v>
      </c>
      <c r="I642">
        <v>5228</v>
      </c>
      <c r="J642">
        <v>3.6509999999999998</v>
      </c>
      <c r="K642">
        <v>9345</v>
      </c>
      <c r="L642">
        <v>5607</v>
      </c>
      <c r="M642">
        <v>337</v>
      </c>
      <c r="N642">
        <v>42</v>
      </c>
      <c r="O642">
        <v>29</v>
      </c>
      <c r="P642">
        <v>0</v>
      </c>
      <c r="Q642">
        <v>13</v>
      </c>
      <c r="S642">
        <v>0</v>
      </c>
      <c r="T642">
        <v>0</v>
      </c>
      <c r="U642">
        <v>0</v>
      </c>
      <c r="V642">
        <v>4.6429</v>
      </c>
      <c r="W642">
        <v>4.4810999999999996</v>
      </c>
      <c r="X642">
        <v>24.332899999999999</v>
      </c>
      <c r="Z642">
        <v>9339.73</v>
      </c>
      <c r="AB642">
        <v>9349.64</v>
      </c>
      <c r="AD642">
        <v>9348.5400000000009</v>
      </c>
      <c r="AF642" t="s">
        <v>182</v>
      </c>
      <c r="AG642" t="s">
        <v>185</v>
      </c>
      <c r="AI642" t="s">
        <v>186</v>
      </c>
      <c r="AJ642" t="s">
        <v>2100</v>
      </c>
      <c r="AK642" t="s">
        <v>188</v>
      </c>
    </row>
    <row r="643" spans="1:37" x14ac:dyDescent="0.3">
      <c r="A643">
        <v>8008</v>
      </c>
      <c r="B643" s="207">
        <v>46121</v>
      </c>
      <c r="C643" t="s">
        <v>438</v>
      </c>
      <c r="D643" t="s">
        <v>2101</v>
      </c>
      <c r="E643" t="s">
        <v>2102</v>
      </c>
      <c r="F643" s="207">
        <v>47848</v>
      </c>
      <c r="G643">
        <v>2</v>
      </c>
      <c r="H643">
        <v>103650</v>
      </c>
      <c r="I643">
        <v>95736353</v>
      </c>
      <c r="J643">
        <v>3.661</v>
      </c>
      <c r="K643">
        <v>9313</v>
      </c>
      <c r="L643">
        <v>96529245</v>
      </c>
      <c r="M643">
        <v>229024</v>
      </c>
      <c r="N643">
        <v>563868</v>
      </c>
      <c r="O643">
        <v>400704</v>
      </c>
      <c r="P643">
        <v>0</v>
      </c>
      <c r="Q643">
        <v>163164</v>
      </c>
      <c r="S643">
        <v>0</v>
      </c>
      <c r="T643">
        <v>56080</v>
      </c>
      <c r="U643">
        <v>5590</v>
      </c>
      <c r="V643">
        <v>4.7278666665999998</v>
      </c>
      <c r="W643">
        <v>4.5622333333</v>
      </c>
      <c r="X643">
        <v>25.154666666600001</v>
      </c>
      <c r="Z643">
        <v>9307.58</v>
      </c>
      <c r="AB643">
        <v>9316.77</v>
      </c>
      <c r="AD643">
        <v>9316.51</v>
      </c>
      <c r="AF643" t="s">
        <v>182</v>
      </c>
      <c r="AG643" t="s">
        <v>185</v>
      </c>
      <c r="AI643" t="s">
        <v>186</v>
      </c>
      <c r="AJ643" t="s">
        <v>2103</v>
      </c>
      <c r="AK643" t="s">
        <v>188</v>
      </c>
    </row>
    <row r="644" spans="1:37" x14ac:dyDescent="0.3">
      <c r="A644">
        <v>8008</v>
      </c>
      <c r="B644" s="207">
        <v>46121</v>
      </c>
      <c r="C644" t="s">
        <v>438</v>
      </c>
      <c r="D644" t="s">
        <v>2104</v>
      </c>
      <c r="E644" t="s">
        <v>2105</v>
      </c>
      <c r="F644" s="207">
        <v>47879</v>
      </c>
      <c r="G644">
        <v>2</v>
      </c>
      <c r="H644">
        <v>5545</v>
      </c>
      <c r="I644">
        <v>5134436</v>
      </c>
      <c r="J644">
        <v>3.6709999999999998</v>
      </c>
      <c r="K644">
        <v>9281</v>
      </c>
      <c r="L644">
        <v>5146314</v>
      </c>
      <c r="M644">
        <v>-8918</v>
      </c>
      <c r="N644">
        <v>20796</v>
      </c>
      <c r="O644">
        <v>12799</v>
      </c>
      <c r="P644">
        <v>0</v>
      </c>
      <c r="Q644">
        <v>7997</v>
      </c>
      <c r="S644">
        <v>0</v>
      </c>
      <c r="T644">
        <v>1790</v>
      </c>
      <c r="U644">
        <v>170</v>
      </c>
      <c r="V644">
        <v>4.8128000000000002</v>
      </c>
      <c r="W644">
        <v>4.6432000000000002</v>
      </c>
      <c r="X644">
        <v>25.9916666666</v>
      </c>
      <c r="Z644">
        <v>9274.6299999999992</v>
      </c>
      <c r="AB644">
        <v>9283.5</v>
      </c>
      <c r="AD644">
        <v>9284.98</v>
      </c>
      <c r="AF644" t="s">
        <v>182</v>
      </c>
      <c r="AG644" t="s">
        <v>185</v>
      </c>
      <c r="AI644" t="s">
        <v>186</v>
      </c>
      <c r="AJ644" t="s">
        <v>2106</v>
      </c>
      <c r="AK644" t="s">
        <v>188</v>
      </c>
    </row>
    <row r="645" spans="1:37" x14ac:dyDescent="0.3">
      <c r="A645">
        <v>8008</v>
      </c>
      <c r="B645" s="207">
        <v>46121</v>
      </c>
      <c r="C645" t="s">
        <v>438</v>
      </c>
      <c r="D645" t="s">
        <v>2107</v>
      </c>
      <c r="E645" t="s">
        <v>2108</v>
      </c>
      <c r="F645" s="207">
        <v>47907</v>
      </c>
      <c r="G645">
        <v>2</v>
      </c>
      <c r="H645">
        <v>108123</v>
      </c>
      <c r="I645">
        <v>97732088</v>
      </c>
      <c r="J645">
        <v>3.681</v>
      </c>
      <c r="K645">
        <v>9251</v>
      </c>
      <c r="L645">
        <v>100024587</v>
      </c>
      <c r="M645">
        <v>2051722</v>
      </c>
      <c r="N645">
        <v>240777</v>
      </c>
      <c r="O645">
        <v>58937</v>
      </c>
      <c r="P645">
        <v>0</v>
      </c>
      <c r="Q645">
        <v>181840</v>
      </c>
      <c r="S645">
        <v>0</v>
      </c>
      <c r="T645">
        <v>8250</v>
      </c>
      <c r="U645">
        <v>820</v>
      </c>
      <c r="V645">
        <v>4.8895</v>
      </c>
      <c r="W645">
        <v>4.7161333333000002</v>
      </c>
      <c r="X645">
        <v>26.7605333333</v>
      </c>
      <c r="Z645">
        <v>9244</v>
      </c>
      <c r="AB645">
        <v>9253.84</v>
      </c>
      <c r="AD645">
        <v>9256.2199999999993</v>
      </c>
      <c r="AF645" t="s">
        <v>182</v>
      </c>
      <c r="AG645" t="s">
        <v>185</v>
      </c>
      <c r="AI645" t="s">
        <v>186</v>
      </c>
      <c r="AJ645" t="s">
        <v>2109</v>
      </c>
      <c r="AK645" t="s">
        <v>188</v>
      </c>
    </row>
    <row r="646" spans="1:37" x14ac:dyDescent="0.3">
      <c r="A646">
        <v>8008</v>
      </c>
      <c r="B646" s="207">
        <v>46121</v>
      </c>
      <c r="C646" t="s">
        <v>438</v>
      </c>
      <c r="D646" t="s">
        <v>3380</v>
      </c>
      <c r="E646" t="s">
        <v>3381</v>
      </c>
      <c r="F646" s="207">
        <v>47938</v>
      </c>
      <c r="G646">
        <v>2</v>
      </c>
      <c r="H646">
        <v>21575</v>
      </c>
      <c r="I646">
        <v>19786744</v>
      </c>
      <c r="J646">
        <v>3.6920000000000002</v>
      </c>
      <c r="K646">
        <v>9218</v>
      </c>
      <c r="L646">
        <v>19887835</v>
      </c>
      <c r="M646">
        <v>89383</v>
      </c>
      <c r="N646">
        <v>11708</v>
      </c>
      <c r="O646">
        <v>1683</v>
      </c>
      <c r="P646">
        <v>0</v>
      </c>
      <c r="Q646">
        <v>10025</v>
      </c>
      <c r="S646">
        <v>0</v>
      </c>
      <c r="T646">
        <v>230</v>
      </c>
      <c r="U646">
        <v>20</v>
      </c>
      <c r="V646">
        <v>4.9744000000000002</v>
      </c>
      <c r="W646">
        <v>4.7967333332999997</v>
      </c>
      <c r="X646">
        <v>27.626300000000001</v>
      </c>
      <c r="Z646">
        <v>9210.68</v>
      </c>
      <c r="AB646">
        <v>9220.19</v>
      </c>
      <c r="AD646">
        <v>9224.82</v>
      </c>
      <c r="AF646" t="s">
        <v>182</v>
      </c>
      <c r="AG646" t="s">
        <v>185</v>
      </c>
      <c r="AI646" t="s">
        <v>186</v>
      </c>
      <c r="AJ646" t="s">
        <v>3382</v>
      </c>
      <c r="AK646" t="s">
        <v>188</v>
      </c>
    </row>
    <row r="647" spans="1:37" x14ac:dyDescent="0.3">
      <c r="A647">
        <v>8008</v>
      </c>
      <c r="B647" s="207">
        <v>46121</v>
      </c>
      <c r="C647" t="s">
        <v>438</v>
      </c>
      <c r="D647" t="s">
        <v>2110</v>
      </c>
      <c r="E647" t="s">
        <v>2111</v>
      </c>
      <c r="F647" s="207">
        <v>47968</v>
      </c>
      <c r="G647">
        <v>2</v>
      </c>
      <c r="H647">
        <v>514107</v>
      </c>
      <c r="I647">
        <v>468737590</v>
      </c>
      <c r="J647">
        <v>3.7010000000000001</v>
      </c>
      <c r="K647">
        <v>9187</v>
      </c>
      <c r="L647">
        <v>472310100</v>
      </c>
      <c r="M647">
        <v>3572510</v>
      </c>
      <c r="N647">
        <v>0</v>
      </c>
      <c r="O647">
        <v>0</v>
      </c>
      <c r="P647">
        <v>0</v>
      </c>
      <c r="Q647">
        <v>0</v>
      </c>
      <c r="S647">
        <v>0</v>
      </c>
      <c r="T647">
        <v>0</v>
      </c>
      <c r="U647">
        <v>0</v>
      </c>
      <c r="V647">
        <v>5.0566000000000004</v>
      </c>
      <c r="W647">
        <v>4.8758666666000003</v>
      </c>
      <c r="X647">
        <v>28.459566666600001</v>
      </c>
      <c r="Z647">
        <v>9177.61</v>
      </c>
      <c r="AB647">
        <v>9189.0300000000007</v>
      </c>
      <c r="AD647">
        <v>9195.08</v>
      </c>
      <c r="AF647" t="s">
        <v>182</v>
      </c>
      <c r="AG647" t="s">
        <v>185</v>
      </c>
      <c r="AI647" t="s">
        <v>186</v>
      </c>
      <c r="AJ647" t="s">
        <v>2112</v>
      </c>
      <c r="AK647" t="s">
        <v>188</v>
      </c>
    </row>
    <row r="648" spans="1:37" x14ac:dyDescent="0.3">
      <c r="A648">
        <v>8008</v>
      </c>
      <c r="B648" s="207">
        <v>46121</v>
      </c>
      <c r="C648" t="s">
        <v>438</v>
      </c>
      <c r="D648" t="s">
        <v>2113</v>
      </c>
      <c r="E648" t="s">
        <v>2114</v>
      </c>
      <c r="F648" s="207">
        <v>47269</v>
      </c>
      <c r="G648">
        <v>2.5</v>
      </c>
      <c r="H648">
        <v>21184</v>
      </c>
      <c r="I648">
        <v>20658266</v>
      </c>
      <c r="J648">
        <v>3.5539999999999998</v>
      </c>
      <c r="K648">
        <v>10138</v>
      </c>
      <c r="L648">
        <v>21476339</v>
      </c>
      <c r="M648">
        <v>-177709</v>
      </c>
      <c r="N648">
        <v>995782</v>
      </c>
      <c r="O648">
        <v>148052</v>
      </c>
      <c r="P648">
        <v>117700</v>
      </c>
      <c r="Q648">
        <v>730030</v>
      </c>
      <c r="S648">
        <v>0</v>
      </c>
      <c r="T648">
        <v>37190</v>
      </c>
      <c r="U648">
        <v>3710</v>
      </c>
      <c r="V648">
        <v>3.1415666666000002</v>
      </c>
      <c r="W648">
        <v>3.0341999999999998</v>
      </c>
      <c r="X648">
        <v>12.098100000000001</v>
      </c>
      <c r="Z648">
        <v>10137.969999999999</v>
      </c>
      <c r="AB648">
        <v>10139.58</v>
      </c>
      <c r="AD648">
        <v>10136.73</v>
      </c>
      <c r="AF648" t="s">
        <v>182</v>
      </c>
      <c r="AG648" t="s">
        <v>185</v>
      </c>
      <c r="AI648" t="s">
        <v>186</v>
      </c>
      <c r="AJ648" t="s">
        <v>2115</v>
      </c>
      <c r="AK648" t="s">
        <v>188</v>
      </c>
    </row>
    <row r="649" spans="1:37" x14ac:dyDescent="0.3">
      <c r="A649">
        <v>8008</v>
      </c>
      <c r="B649" s="207">
        <v>46121</v>
      </c>
      <c r="C649" t="s">
        <v>438</v>
      </c>
      <c r="D649" t="s">
        <v>2116</v>
      </c>
      <c r="E649" t="s">
        <v>2117</v>
      </c>
      <c r="F649" s="207">
        <v>47361</v>
      </c>
      <c r="G649">
        <v>2.5</v>
      </c>
      <c r="H649">
        <v>24223</v>
      </c>
      <c r="I649">
        <v>22769281</v>
      </c>
      <c r="J649">
        <v>3.5609999999999999</v>
      </c>
      <c r="K649">
        <v>10046</v>
      </c>
      <c r="L649">
        <v>24334425</v>
      </c>
      <c r="M649">
        <v>583868</v>
      </c>
      <c r="N649">
        <v>981276</v>
      </c>
      <c r="O649">
        <v>110002</v>
      </c>
      <c r="P649">
        <v>1522</v>
      </c>
      <c r="Q649">
        <v>869752</v>
      </c>
      <c r="S649">
        <v>0</v>
      </c>
      <c r="T649">
        <v>15600</v>
      </c>
      <c r="U649">
        <v>1550</v>
      </c>
      <c r="V649">
        <v>3.3936000000000002</v>
      </c>
      <c r="W649">
        <v>3.2787333332999999</v>
      </c>
      <c r="X649">
        <v>13.8414</v>
      </c>
      <c r="Z649">
        <v>10045.07</v>
      </c>
      <c r="AB649">
        <v>10049.43</v>
      </c>
      <c r="AD649">
        <v>10044.74</v>
      </c>
      <c r="AF649" t="s">
        <v>182</v>
      </c>
      <c r="AG649" t="s">
        <v>185</v>
      </c>
      <c r="AI649" t="s">
        <v>186</v>
      </c>
      <c r="AJ649" t="s">
        <v>2118</v>
      </c>
      <c r="AK649" t="s">
        <v>188</v>
      </c>
    </row>
    <row r="650" spans="1:37" x14ac:dyDescent="0.3">
      <c r="A650">
        <v>8008</v>
      </c>
      <c r="B650" s="207">
        <v>46121</v>
      </c>
      <c r="C650" t="s">
        <v>438</v>
      </c>
      <c r="D650" t="s">
        <v>2119</v>
      </c>
      <c r="E650" t="s">
        <v>2120</v>
      </c>
      <c r="F650" s="207">
        <v>46142</v>
      </c>
      <c r="G650">
        <v>1.05</v>
      </c>
      <c r="H650">
        <v>8735</v>
      </c>
      <c r="I650">
        <v>8690170</v>
      </c>
      <c r="J650">
        <v>2.637</v>
      </c>
      <c r="K650">
        <v>10520</v>
      </c>
      <c r="L650">
        <v>9189220</v>
      </c>
      <c r="M650">
        <v>35997</v>
      </c>
      <c r="N650">
        <v>463053</v>
      </c>
      <c r="O650">
        <v>26022</v>
      </c>
      <c r="P650">
        <v>366166</v>
      </c>
      <c r="Q650">
        <v>70865</v>
      </c>
      <c r="S650">
        <v>0</v>
      </c>
      <c r="T650">
        <v>54900</v>
      </c>
      <c r="U650">
        <v>5480</v>
      </c>
      <c r="V650">
        <v>5.57E-2</v>
      </c>
      <c r="W650">
        <v>5.4699999999999999E-2</v>
      </c>
      <c r="X650">
        <v>3.9533333300000001E-2</v>
      </c>
      <c r="Z650">
        <v>10520.55</v>
      </c>
      <c r="AB650">
        <v>10521.14</v>
      </c>
      <c r="AD650">
        <v>10520.83</v>
      </c>
      <c r="AF650" t="s">
        <v>182</v>
      </c>
      <c r="AG650" t="s">
        <v>185</v>
      </c>
      <c r="AI650" t="s">
        <v>186</v>
      </c>
      <c r="AJ650" t="s">
        <v>2121</v>
      </c>
      <c r="AK650" t="s">
        <v>188</v>
      </c>
    </row>
    <row r="651" spans="1:37" x14ac:dyDescent="0.3">
      <c r="A651">
        <v>8008</v>
      </c>
      <c r="B651" s="207">
        <v>46121</v>
      </c>
      <c r="C651" t="s">
        <v>438</v>
      </c>
      <c r="D651" t="s">
        <v>2122</v>
      </c>
      <c r="E651" t="s">
        <v>2123</v>
      </c>
      <c r="F651" s="207">
        <v>46173</v>
      </c>
      <c r="G651">
        <v>1.05</v>
      </c>
      <c r="H651">
        <v>41853</v>
      </c>
      <c r="I651">
        <v>41580909</v>
      </c>
      <c r="J651">
        <v>2.661</v>
      </c>
      <c r="K651">
        <v>10497</v>
      </c>
      <c r="L651">
        <v>43933094</v>
      </c>
      <c r="M651">
        <v>172585</v>
      </c>
      <c r="N651">
        <v>2179600</v>
      </c>
      <c r="O651">
        <v>124572</v>
      </c>
      <c r="P651">
        <v>2021347</v>
      </c>
      <c r="Q651">
        <v>33681</v>
      </c>
      <c r="S651">
        <v>0</v>
      </c>
      <c r="T651">
        <v>300410</v>
      </c>
      <c r="U651">
        <v>30040</v>
      </c>
      <c r="V651">
        <v>0.1406333333</v>
      </c>
      <c r="W651">
        <v>0.13800000000000001</v>
      </c>
      <c r="X651">
        <v>0.1147666666</v>
      </c>
      <c r="Z651">
        <v>10496.69</v>
      </c>
      <c r="AB651">
        <v>10497.5</v>
      </c>
      <c r="AD651">
        <v>10496.83</v>
      </c>
      <c r="AF651" t="s">
        <v>182</v>
      </c>
      <c r="AG651" t="s">
        <v>185</v>
      </c>
      <c r="AI651" t="s">
        <v>186</v>
      </c>
      <c r="AJ651" t="s">
        <v>2124</v>
      </c>
      <c r="AK651" t="s">
        <v>188</v>
      </c>
    </row>
    <row r="652" spans="1:37" x14ac:dyDescent="0.3">
      <c r="A652">
        <v>8008</v>
      </c>
      <c r="B652" s="207">
        <v>46121</v>
      </c>
      <c r="C652" t="s">
        <v>438</v>
      </c>
      <c r="D652" t="s">
        <v>2125</v>
      </c>
      <c r="E652" t="s">
        <v>2126</v>
      </c>
      <c r="F652" s="207">
        <v>46721</v>
      </c>
      <c r="G652">
        <v>1.05</v>
      </c>
      <c r="H652">
        <v>2012</v>
      </c>
      <c r="I652">
        <v>1940821</v>
      </c>
      <c r="J652">
        <v>3.2069999999999999</v>
      </c>
      <c r="K652">
        <v>10002</v>
      </c>
      <c r="L652">
        <v>2012402</v>
      </c>
      <c r="M652">
        <v>-262</v>
      </c>
      <c r="N652">
        <v>71843</v>
      </c>
      <c r="O652">
        <v>5896</v>
      </c>
      <c r="P652">
        <v>33008</v>
      </c>
      <c r="Q652">
        <v>32939</v>
      </c>
      <c r="S652">
        <v>0</v>
      </c>
      <c r="T652">
        <v>5440</v>
      </c>
      <c r="U652">
        <v>540</v>
      </c>
      <c r="V652">
        <v>1.6419999999999999</v>
      </c>
      <c r="W652">
        <v>1.5933333332999999</v>
      </c>
      <c r="X652">
        <v>4.0110666665999997</v>
      </c>
      <c r="Z652">
        <v>10000.870000000001</v>
      </c>
      <c r="AB652">
        <v>10005.64</v>
      </c>
      <c r="AD652">
        <v>10002.469999999999</v>
      </c>
      <c r="AF652" t="s">
        <v>182</v>
      </c>
      <c r="AG652" t="s">
        <v>185</v>
      </c>
      <c r="AI652" t="s">
        <v>186</v>
      </c>
      <c r="AJ652" t="s">
        <v>2127</v>
      </c>
      <c r="AK652" t="s">
        <v>188</v>
      </c>
    </row>
    <row r="653" spans="1:37" x14ac:dyDescent="0.3">
      <c r="A653">
        <v>8008</v>
      </c>
      <c r="B653" s="207">
        <v>46121</v>
      </c>
      <c r="C653" t="s">
        <v>438</v>
      </c>
      <c r="D653" t="s">
        <v>2128</v>
      </c>
      <c r="E653" t="s">
        <v>2129</v>
      </c>
      <c r="F653" s="207">
        <v>46783</v>
      </c>
      <c r="G653">
        <v>2.5</v>
      </c>
      <c r="H653">
        <v>15169</v>
      </c>
      <c r="I653">
        <v>15021752</v>
      </c>
      <c r="J653">
        <v>3.25</v>
      </c>
      <c r="K653">
        <v>10676</v>
      </c>
      <c r="L653">
        <v>16194423</v>
      </c>
      <c r="M653">
        <v>-70112</v>
      </c>
      <c r="N653">
        <v>1242783</v>
      </c>
      <c r="O653">
        <v>109550</v>
      </c>
      <c r="P653">
        <v>801675</v>
      </c>
      <c r="Q653">
        <v>331558</v>
      </c>
      <c r="S653">
        <v>0</v>
      </c>
      <c r="T653">
        <v>127570</v>
      </c>
      <c r="U653">
        <v>12750</v>
      </c>
      <c r="V653">
        <v>1.8119000000000001</v>
      </c>
      <c r="W653">
        <v>1.7564333333</v>
      </c>
      <c r="X653">
        <v>4.7390333333000001</v>
      </c>
      <c r="Z653">
        <v>10673.66</v>
      </c>
      <c r="AB653">
        <v>10680.12</v>
      </c>
      <c r="AD653">
        <v>10675.72</v>
      </c>
      <c r="AF653" t="s">
        <v>182</v>
      </c>
      <c r="AG653" t="s">
        <v>185</v>
      </c>
      <c r="AI653" t="s">
        <v>186</v>
      </c>
      <c r="AJ653" t="s">
        <v>2130</v>
      </c>
      <c r="AK653" t="s">
        <v>188</v>
      </c>
    </row>
    <row r="654" spans="1:37" x14ac:dyDescent="0.3">
      <c r="A654">
        <v>8008</v>
      </c>
      <c r="B654" s="207">
        <v>46121</v>
      </c>
      <c r="C654" t="s">
        <v>438</v>
      </c>
      <c r="D654" t="s">
        <v>2131</v>
      </c>
      <c r="E654" t="s">
        <v>2132</v>
      </c>
      <c r="F654" s="207">
        <v>46843</v>
      </c>
      <c r="G654">
        <v>2.5</v>
      </c>
      <c r="H654">
        <v>14574</v>
      </c>
      <c r="I654">
        <v>14404561</v>
      </c>
      <c r="J654">
        <v>3.29</v>
      </c>
      <c r="K654">
        <v>10613</v>
      </c>
      <c r="L654">
        <v>15467386</v>
      </c>
      <c r="M654">
        <v>-68399</v>
      </c>
      <c r="N654">
        <v>1131224</v>
      </c>
      <c r="O654">
        <v>104834</v>
      </c>
      <c r="P654">
        <v>780655</v>
      </c>
      <c r="Q654">
        <v>245735</v>
      </c>
      <c r="S654">
        <v>0</v>
      </c>
      <c r="T654">
        <v>123960</v>
      </c>
      <c r="U654">
        <v>12380</v>
      </c>
      <c r="V654">
        <v>1.9743999999999999</v>
      </c>
      <c r="W654">
        <v>1.9109</v>
      </c>
      <c r="X654">
        <v>5.4935999999999998</v>
      </c>
      <c r="Z654">
        <v>10611.35</v>
      </c>
      <c r="AB654">
        <v>10617.92</v>
      </c>
      <c r="AD654">
        <v>10612.57</v>
      </c>
      <c r="AF654" t="s">
        <v>182</v>
      </c>
      <c r="AG654" t="s">
        <v>185</v>
      </c>
      <c r="AI654" t="s">
        <v>186</v>
      </c>
      <c r="AJ654" t="s">
        <v>2133</v>
      </c>
      <c r="AK654" t="s">
        <v>188</v>
      </c>
    </row>
    <row r="655" spans="1:37" x14ac:dyDescent="0.3">
      <c r="A655">
        <v>8008</v>
      </c>
      <c r="B655" s="207">
        <v>46121</v>
      </c>
      <c r="C655" t="s">
        <v>438</v>
      </c>
      <c r="D655" t="s">
        <v>2134</v>
      </c>
      <c r="E655" t="s">
        <v>2135</v>
      </c>
      <c r="F655" s="207">
        <v>46873</v>
      </c>
      <c r="G655">
        <v>2.5</v>
      </c>
      <c r="H655">
        <v>14601</v>
      </c>
      <c r="I655">
        <v>14417672</v>
      </c>
      <c r="J655">
        <v>3.3050000000000002</v>
      </c>
      <c r="K655">
        <v>10582</v>
      </c>
      <c r="L655">
        <v>15450778</v>
      </c>
      <c r="M655">
        <v>-68313</v>
      </c>
      <c r="N655">
        <v>1101419</v>
      </c>
      <c r="O655">
        <v>104816</v>
      </c>
      <c r="P655">
        <v>664802</v>
      </c>
      <c r="Q655">
        <v>331801</v>
      </c>
      <c r="S655">
        <v>0</v>
      </c>
      <c r="T655">
        <v>107740</v>
      </c>
      <c r="U655">
        <v>10760</v>
      </c>
      <c r="V655">
        <v>2.0566</v>
      </c>
      <c r="W655">
        <v>1.9904999999999999</v>
      </c>
      <c r="X655">
        <v>5.8721666666000001</v>
      </c>
      <c r="Z655">
        <v>10579.74</v>
      </c>
      <c r="AB655">
        <v>10586.56</v>
      </c>
      <c r="AD655">
        <v>10581.01</v>
      </c>
      <c r="AF655" t="s">
        <v>182</v>
      </c>
      <c r="AG655" t="s">
        <v>185</v>
      </c>
      <c r="AI655" t="s">
        <v>186</v>
      </c>
      <c r="AJ655" t="s">
        <v>2136</v>
      </c>
      <c r="AK655" t="s">
        <v>188</v>
      </c>
    </row>
    <row r="656" spans="1:37" x14ac:dyDescent="0.3">
      <c r="A656">
        <v>8008</v>
      </c>
      <c r="B656" s="207">
        <v>46121</v>
      </c>
      <c r="C656" t="s">
        <v>438</v>
      </c>
      <c r="D656" t="s">
        <v>2137</v>
      </c>
      <c r="E656" t="s">
        <v>2138</v>
      </c>
      <c r="F656" s="207">
        <v>46904</v>
      </c>
      <c r="G656">
        <v>2.5</v>
      </c>
      <c r="H656">
        <v>60581</v>
      </c>
      <c r="I656">
        <v>59755844</v>
      </c>
      <c r="J656">
        <v>3.3180000000000001</v>
      </c>
      <c r="K656">
        <v>10550</v>
      </c>
      <c r="L656">
        <v>63912955</v>
      </c>
      <c r="M656">
        <v>-276297</v>
      </c>
      <c r="N656">
        <v>4433408</v>
      </c>
      <c r="O656">
        <v>433972</v>
      </c>
      <c r="P656">
        <v>2816016</v>
      </c>
      <c r="Q656">
        <v>1183420</v>
      </c>
      <c r="S656">
        <v>0</v>
      </c>
      <c r="T656">
        <v>454950</v>
      </c>
      <c r="U656">
        <v>45470</v>
      </c>
      <c r="V656">
        <v>2.1415666666000002</v>
      </c>
      <c r="W656">
        <v>2.0731666666000002</v>
      </c>
      <c r="X656">
        <v>6.2661666666000002</v>
      </c>
      <c r="Z656">
        <v>10547.66</v>
      </c>
      <c r="AB656">
        <v>10554.08</v>
      </c>
      <c r="AD656">
        <v>10548.53</v>
      </c>
      <c r="AF656" t="s">
        <v>182</v>
      </c>
      <c r="AG656" t="s">
        <v>185</v>
      </c>
      <c r="AI656" t="s">
        <v>186</v>
      </c>
      <c r="AJ656" t="s">
        <v>2139</v>
      </c>
      <c r="AK656" t="s">
        <v>188</v>
      </c>
    </row>
    <row r="657" spans="1:37" x14ac:dyDescent="0.3">
      <c r="A657">
        <v>8008</v>
      </c>
      <c r="B657" s="207">
        <v>46121</v>
      </c>
      <c r="C657" t="s">
        <v>438</v>
      </c>
      <c r="D657" t="s">
        <v>2140</v>
      </c>
      <c r="E657" t="s">
        <v>2141</v>
      </c>
      <c r="F657" s="207">
        <v>47087</v>
      </c>
      <c r="G657">
        <v>2.5</v>
      </c>
      <c r="H657">
        <v>53360</v>
      </c>
      <c r="I657">
        <v>52314046</v>
      </c>
      <c r="J657">
        <v>3.4239999999999999</v>
      </c>
      <c r="K657">
        <v>10350</v>
      </c>
      <c r="L657">
        <v>55227600</v>
      </c>
      <c r="M657">
        <v>-286832</v>
      </c>
      <c r="N657">
        <v>3200386</v>
      </c>
      <c r="O657">
        <v>377545</v>
      </c>
      <c r="P657">
        <v>2702424</v>
      </c>
      <c r="Q657">
        <v>120417</v>
      </c>
      <c r="S657">
        <v>0</v>
      </c>
      <c r="T657">
        <v>431170</v>
      </c>
      <c r="U657">
        <v>43080</v>
      </c>
      <c r="V657">
        <v>2.6429</v>
      </c>
      <c r="W657">
        <v>2.5570333333000002</v>
      </c>
      <c r="X657">
        <v>8.9396666666000009</v>
      </c>
      <c r="Z657">
        <v>10348.48</v>
      </c>
      <c r="AB657">
        <v>10353.59</v>
      </c>
      <c r="AD657">
        <v>10348.209999999999</v>
      </c>
      <c r="AF657" t="s">
        <v>182</v>
      </c>
      <c r="AG657" t="s">
        <v>185</v>
      </c>
      <c r="AI657" t="s">
        <v>186</v>
      </c>
      <c r="AJ657" t="s">
        <v>2142</v>
      </c>
      <c r="AK657" t="s">
        <v>188</v>
      </c>
    </row>
    <row r="658" spans="1:37" x14ac:dyDescent="0.3">
      <c r="A658">
        <v>8008</v>
      </c>
      <c r="B658" s="207">
        <v>46121</v>
      </c>
      <c r="C658" t="s">
        <v>438</v>
      </c>
      <c r="D658" t="s">
        <v>2143</v>
      </c>
      <c r="E658" t="s">
        <v>2144</v>
      </c>
      <c r="F658" s="207">
        <v>47452</v>
      </c>
      <c r="G658">
        <v>2.5</v>
      </c>
      <c r="H658">
        <v>59780</v>
      </c>
      <c r="I658">
        <v>57985325</v>
      </c>
      <c r="J658">
        <v>3.5670000000000002</v>
      </c>
      <c r="K658">
        <v>9956</v>
      </c>
      <c r="L658">
        <v>59516967</v>
      </c>
      <c r="M658">
        <v>-508301</v>
      </c>
      <c r="N658">
        <v>2039943</v>
      </c>
      <c r="O658">
        <v>412653</v>
      </c>
      <c r="P658">
        <v>970386</v>
      </c>
      <c r="Q658">
        <v>656904</v>
      </c>
      <c r="S658">
        <v>0</v>
      </c>
      <c r="T658">
        <v>193600</v>
      </c>
      <c r="U658">
        <v>19340</v>
      </c>
      <c r="V658">
        <v>3.6429</v>
      </c>
      <c r="W658">
        <v>3.5191333333000001</v>
      </c>
      <c r="X658">
        <v>15.711333333300001</v>
      </c>
      <c r="Z658">
        <v>9953.58</v>
      </c>
      <c r="AB658">
        <v>9962.07</v>
      </c>
      <c r="AD658">
        <v>9954.98</v>
      </c>
      <c r="AF658" t="s">
        <v>182</v>
      </c>
      <c r="AG658" t="s">
        <v>185</v>
      </c>
      <c r="AI658" t="s">
        <v>186</v>
      </c>
      <c r="AJ658" t="s">
        <v>2145</v>
      </c>
      <c r="AK658" t="s">
        <v>188</v>
      </c>
    </row>
    <row r="659" spans="1:37" x14ac:dyDescent="0.3">
      <c r="A659">
        <v>8008</v>
      </c>
      <c r="B659" s="207">
        <v>46121</v>
      </c>
      <c r="C659" t="s">
        <v>438</v>
      </c>
      <c r="D659" t="s">
        <v>2146</v>
      </c>
      <c r="E659" t="s">
        <v>2147</v>
      </c>
      <c r="F659" s="207">
        <v>47483</v>
      </c>
      <c r="G659">
        <v>2.5</v>
      </c>
      <c r="H659">
        <v>17848</v>
      </c>
      <c r="I659">
        <v>17297044</v>
      </c>
      <c r="J659">
        <v>3.57</v>
      </c>
      <c r="K659">
        <v>9926</v>
      </c>
      <c r="L659">
        <v>17715924</v>
      </c>
      <c r="M659">
        <v>-151501</v>
      </c>
      <c r="N659">
        <v>570381</v>
      </c>
      <c r="O659">
        <v>122944</v>
      </c>
      <c r="P659">
        <v>409969</v>
      </c>
      <c r="Q659">
        <v>37468</v>
      </c>
      <c r="S659">
        <v>0</v>
      </c>
      <c r="T659">
        <v>74600</v>
      </c>
      <c r="U659">
        <v>7460</v>
      </c>
      <c r="V659">
        <v>3.7278666666000002</v>
      </c>
      <c r="W659">
        <v>3.6006666666</v>
      </c>
      <c r="X659">
        <v>16.380533333300001</v>
      </c>
      <c r="Z659">
        <v>9921.9599999999991</v>
      </c>
      <c r="AB659">
        <v>9932.41</v>
      </c>
      <c r="AD659">
        <v>9924.82</v>
      </c>
      <c r="AF659" t="s">
        <v>182</v>
      </c>
      <c r="AG659" t="s">
        <v>185</v>
      </c>
      <c r="AI659" t="s">
        <v>186</v>
      </c>
      <c r="AJ659" t="s">
        <v>2148</v>
      </c>
      <c r="AK659" t="s">
        <v>188</v>
      </c>
    </row>
    <row r="660" spans="1:37" x14ac:dyDescent="0.3">
      <c r="A660">
        <v>8008</v>
      </c>
      <c r="B660" s="207">
        <v>46121</v>
      </c>
      <c r="C660" t="s">
        <v>438</v>
      </c>
      <c r="D660" t="s">
        <v>2149</v>
      </c>
      <c r="E660" t="s">
        <v>2150</v>
      </c>
      <c r="F660" s="207">
        <v>47514</v>
      </c>
      <c r="G660">
        <v>2.5</v>
      </c>
      <c r="H660">
        <v>34782</v>
      </c>
      <c r="I660">
        <v>33668217</v>
      </c>
      <c r="J660">
        <v>3.5739999999999998</v>
      </c>
      <c r="K660">
        <v>9895</v>
      </c>
      <c r="L660">
        <v>34416789</v>
      </c>
      <c r="M660">
        <v>-287785</v>
      </c>
      <c r="N660">
        <v>1036357</v>
      </c>
      <c r="O660">
        <v>239091</v>
      </c>
      <c r="P660">
        <v>489020</v>
      </c>
      <c r="Q660">
        <v>308246</v>
      </c>
      <c r="S660">
        <v>0</v>
      </c>
      <c r="T660">
        <v>101920</v>
      </c>
      <c r="U660">
        <v>10160</v>
      </c>
      <c r="V660">
        <v>3.8128000000000002</v>
      </c>
      <c r="W660">
        <v>3.6819999999999999</v>
      </c>
      <c r="X660">
        <v>17.0657</v>
      </c>
      <c r="Z660">
        <v>9889.7000000000007</v>
      </c>
      <c r="AB660">
        <v>9902.9</v>
      </c>
      <c r="AD660">
        <v>9894.7999999999993</v>
      </c>
      <c r="AF660" t="s">
        <v>182</v>
      </c>
      <c r="AG660" t="s">
        <v>185</v>
      </c>
      <c r="AI660" t="s">
        <v>186</v>
      </c>
      <c r="AJ660" t="s">
        <v>2151</v>
      </c>
      <c r="AK660" t="s">
        <v>188</v>
      </c>
    </row>
    <row r="661" spans="1:37" x14ac:dyDescent="0.3">
      <c r="A661">
        <v>8008</v>
      </c>
      <c r="B661" s="207">
        <v>46121</v>
      </c>
      <c r="C661" t="s">
        <v>438</v>
      </c>
      <c r="D661" t="s">
        <v>2152</v>
      </c>
      <c r="E661" t="s">
        <v>2153</v>
      </c>
      <c r="F661" s="207">
        <v>47542</v>
      </c>
      <c r="G661">
        <v>2.5</v>
      </c>
      <c r="H661">
        <v>6868</v>
      </c>
      <c r="I661">
        <v>6640077</v>
      </c>
      <c r="J661">
        <v>3.577</v>
      </c>
      <c r="K661">
        <v>9868</v>
      </c>
      <c r="L661">
        <v>6777340</v>
      </c>
      <c r="M661">
        <v>-53988</v>
      </c>
      <c r="N661">
        <v>191251</v>
      </c>
      <c r="O661">
        <v>47120</v>
      </c>
      <c r="P661">
        <v>120756</v>
      </c>
      <c r="Q661">
        <v>23375</v>
      </c>
      <c r="S661">
        <v>0</v>
      </c>
      <c r="T661">
        <v>23480</v>
      </c>
      <c r="U661">
        <v>2330</v>
      </c>
      <c r="V661">
        <v>3.8895</v>
      </c>
      <c r="W661">
        <v>3.7553666666000001</v>
      </c>
      <c r="X661">
        <v>17.698599999999999</v>
      </c>
      <c r="Z661">
        <v>9861.08</v>
      </c>
      <c r="AB661">
        <v>9876.7199999999993</v>
      </c>
      <c r="AD661">
        <v>9867.75</v>
      </c>
      <c r="AF661" t="s">
        <v>182</v>
      </c>
      <c r="AG661" t="s">
        <v>185</v>
      </c>
      <c r="AI661" t="s">
        <v>186</v>
      </c>
      <c r="AJ661" t="s">
        <v>2154</v>
      </c>
      <c r="AK661" t="s">
        <v>188</v>
      </c>
    </row>
    <row r="662" spans="1:37" x14ac:dyDescent="0.3">
      <c r="A662">
        <v>8008</v>
      </c>
      <c r="B662" s="207">
        <v>46121</v>
      </c>
      <c r="C662" t="s">
        <v>438</v>
      </c>
      <c r="D662" t="s">
        <v>2155</v>
      </c>
      <c r="E662" t="s">
        <v>2156</v>
      </c>
      <c r="F662" s="207">
        <v>46356</v>
      </c>
      <c r="G662">
        <v>1.05</v>
      </c>
      <c r="H662">
        <v>1197</v>
      </c>
      <c r="I662">
        <v>1179019</v>
      </c>
      <c r="J662">
        <v>2.8540000000000001</v>
      </c>
      <c r="K662">
        <v>10346</v>
      </c>
      <c r="L662">
        <v>1238415</v>
      </c>
      <c r="M662">
        <v>3638</v>
      </c>
      <c r="N662">
        <v>55758</v>
      </c>
      <c r="O662">
        <v>3544</v>
      </c>
      <c r="P662">
        <v>51180</v>
      </c>
      <c r="Q662">
        <v>1034</v>
      </c>
      <c r="S662">
        <v>0</v>
      </c>
      <c r="T662">
        <v>7650</v>
      </c>
      <c r="U662">
        <v>760</v>
      </c>
      <c r="V662">
        <v>0.64200000000000002</v>
      </c>
      <c r="W662">
        <v>0.62626666659999997</v>
      </c>
      <c r="X662">
        <v>0.92920000000000003</v>
      </c>
      <c r="Z662">
        <v>10346.290000000001</v>
      </c>
      <c r="AB662">
        <v>10347.15</v>
      </c>
      <c r="AD662">
        <v>10346.75</v>
      </c>
      <c r="AF662" t="s">
        <v>182</v>
      </c>
      <c r="AG662" t="s">
        <v>185</v>
      </c>
      <c r="AI662" t="s">
        <v>186</v>
      </c>
      <c r="AJ662" t="s">
        <v>2157</v>
      </c>
      <c r="AK662" t="s">
        <v>188</v>
      </c>
    </row>
    <row r="663" spans="1:37" x14ac:dyDescent="0.3">
      <c r="A663">
        <v>8008</v>
      </c>
      <c r="B663" s="207">
        <v>46121</v>
      </c>
      <c r="C663" t="s">
        <v>438</v>
      </c>
      <c r="D663" t="s">
        <v>2158</v>
      </c>
      <c r="E663" t="s">
        <v>2159</v>
      </c>
      <c r="F663" s="207">
        <v>46387</v>
      </c>
      <c r="G663">
        <v>1.05</v>
      </c>
      <c r="H663">
        <v>6804</v>
      </c>
      <c r="I663">
        <v>6691761</v>
      </c>
      <c r="J663">
        <v>2.879</v>
      </c>
      <c r="K663">
        <v>10320</v>
      </c>
      <c r="L663">
        <v>7021728</v>
      </c>
      <c r="M663">
        <v>19336</v>
      </c>
      <c r="N663">
        <v>310631</v>
      </c>
      <c r="O663">
        <v>20128</v>
      </c>
      <c r="P663">
        <v>285244</v>
      </c>
      <c r="Q663">
        <v>5259</v>
      </c>
      <c r="S663">
        <v>0</v>
      </c>
      <c r="T663">
        <v>42750</v>
      </c>
      <c r="U663">
        <v>4270</v>
      </c>
      <c r="V663">
        <v>0.72693333329999998</v>
      </c>
      <c r="W663">
        <v>0.70840000000000003</v>
      </c>
      <c r="X663">
        <v>1.1285666666</v>
      </c>
      <c r="Z663">
        <v>10319.76</v>
      </c>
      <c r="AB663">
        <v>10321.15</v>
      </c>
      <c r="AD663">
        <v>10319.91</v>
      </c>
      <c r="AF663" t="s">
        <v>182</v>
      </c>
      <c r="AG663" t="s">
        <v>185</v>
      </c>
      <c r="AI663" t="s">
        <v>186</v>
      </c>
      <c r="AJ663" t="s">
        <v>2160</v>
      </c>
      <c r="AK663" t="s">
        <v>188</v>
      </c>
    </row>
    <row r="664" spans="1:37" x14ac:dyDescent="0.3">
      <c r="A664">
        <v>8008</v>
      </c>
      <c r="B664" s="207">
        <v>46121</v>
      </c>
      <c r="C664" t="s">
        <v>438</v>
      </c>
      <c r="D664" t="s">
        <v>2161</v>
      </c>
      <c r="E664" t="s">
        <v>2162</v>
      </c>
      <c r="F664" s="207">
        <v>46599</v>
      </c>
      <c r="G664">
        <v>1.05</v>
      </c>
      <c r="H664">
        <v>11518</v>
      </c>
      <c r="I664">
        <v>11189863</v>
      </c>
      <c r="J664">
        <v>3.1059999999999999</v>
      </c>
      <c r="K664">
        <v>10122</v>
      </c>
      <c r="L664">
        <v>11658518</v>
      </c>
      <c r="M664">
        <v>15659</v>
      </c>
      <c r="N664">
        <v>452996</v>
      </c>
      <c r="O664">
        <v>33867</v>
      </c>
      <c r="P664">
        <v>356544</v>
      </c>
      <c r="Q664">
        <v>62585</v>
      </c>
      <c r="S664">
        <v>0</v>
      </c>
      <c r="T664">
        <v>54630</v>
      </c>
      <c r="U664">
        <v>5450</v>
      </c>
      <c r="V664">
        <v>1.3077333333000001</v>
      </c>
      <c r="W664">
        <v>1.2705</v>
      </c>
      <c r="X664">
        <v>2.7788333333000002</v>
      </c>
      <c r="Z664">
        <v>10121.36</v>
      </c>
      <c r="AB664">
        <v>10122.91</v>
      </c>
      <c r="AD664">
        <v>10122</v>
      </c>
      <c r="AF664" t="s">
        <v>182</v>
      </c>
      <c r="AG664" t="s">
        <v>185</v>
      </c>
      <c r="AI664" t="s">
        <v>186</v>
      </c>
      <c r="AJ664" t="s">
        <v>2163</v>
      </c>
      <c r="AK664" t="s">
        <v>188</v>
      </c>
    </row>
    <row r="665" spans="1:37" x14ac:dyDescent="0.3">
      <c r="A665">
        <v>8008</v>
      </c>
      <c r="B665" s="207">
        <v>46121</v>
      </c>
      <c r="C665" t="s">
        <v>438</v>
      </c>
      <c r="D665" t="s">
        <v>2164</v>
      </c>
      <c r="E665" t="s">
        <v>2165</v>
      </c>
      <c r="F665" s="207">
        <v>46934</v>
      </c>
      <c r="G665">
        <v>2.5</v>
      </c>
      <c r="H665">
        <v>840</v>
      </c>
      <c r="I665">
        <v>827773</v>
      </c>
      <c r="J665">
        <v>3.3290000000000002</v>
      </c>
      <c r="K665">
        <v>10518</v>
      </c>
      <c r="L665">
        <v>883512</v>
      </c>
      <c r="M665">
        <v>-3905</v>
      </c>
      <c r="N665">
        <v>59644</v>
      </c>
      <c r="O665">
        <v>6005</v>
      </c>
      <c r="P665">
        <v>35249</v>
      </c>
      <c r="Q665">
        <v>18390</v>
      </c>
      <c r="S665">
        <v>0</v>
      </c>
      <c r="T665">
        <v>5770</v>
      </c>
      <c r="U665">
        <v>570</v>
      </c>
      <c r="V665">
        <v>2.2237666666</v>
      </c>
      <c r="W665">
        <v>2.1530333332999998</v>
      </c>
      <c r="X665">
        <v>6.6643333333000001</v>
      </c>
      <c r="Z665">
        <v>10516.97</v>
      </c>
      <c r="AB665">
        <v>10522.72</v>
      </c>
      <c r="AD665">
        <v>10516.97</v>
      </c>
      <c r="AF665" t="s">
        <v>182</v>
      </c>
      <c r="AG665" t="s">
        <v>185</v>
      </c>
      <c r="AI665" t="s">
        <v>186</v>
      </c>
      <c r="AJ665" t="s">
        <v>2166</v>
      </c>
      <c r="AK665" t="s">
        <v>188</v>
      </c>
    </row>
    <row r="666" spans="1:37" x14ac:dyDescent="0.3">
      <c r="A666">
        <v>8008</v>
      </c>
      <c r="B666" s="207">
        <v>46121</v>
      </c>
      <c r="C666" t="s">
        <v>438</v>
      </c>
      <c r="D666" t="s">
        <v>2167</v>
      </c>
      <c r="E666" t="s">
        <v>2168</v>
      </c>
      <c r="F666" s="207">
        <v>46996</v>
      </c>
      <c r="G666">
        <v>2.5</v>
      </c>
      <c r="H666">
        <v>47122</v>
      </c>
      <c r="I666">
        <v>46344309</v>
      </c>
      <c r="J666">
        <v>3.355</v>
      </c>
      <c r="K666">
        <v>10454</v>
      </c>
      <c r="L666">
        <v>49261338</v>
      </c>
      <c r="M666">
        <v>-217662</v>
      </c>
      <c r="N666">
        <v>3134691</v>
      </c>
      <c r="O666">
        <v>335467</v>
      </c>
      <c r="P666">
        <v>840555</v>
      </c>
      <c r="Q666">
        <v>1958669</v>
      </c>
      <c r="S666">
        <v>0</v>
      </c>
      <c r="T666">
        <v>164630</v>
      </c>
      <c r="U666">
        <v>16450</v>
      </c>
      <c r="V666">
        <v>2.3936000000000002</v>
      </c>
      <c r="W666">
        <v>2.3175666665999999</v>
      </c>
      <c r="X666">
        <v>7.5385333333000002</v>
      </c>
      <c r="Z666">
        <v>10452.52</v>
      </c>
      <c r="AB666">
        <v>10457.700000000001</v>
      </c>
      <c r="AD666">
        <v>10451.799999999999</v>
      </c>
      <c r="AF666" t="s">
        <v>182</v>
      </c>
      <c r="AG666" t="s">
        <v>185</v>
      </c>
      <c r="AI666" t="s">
        <v>186</v>
      </c>
      <c r="AJ666" t="s">
        <v>2169</v>
      </c>
      <c r="AK666" t="s">
        <v>188</v>
      </c>
    </row>
    <row r="667" spans="1:37" x14ac:dyDescent="0.3">
      <c r="A667">
        <v>8008</v>
      </c>
      <c r="B667" s="207">
        <v>46121</v>
      </c>
      <c r="C667" t="s">
        <v>438</v>
      </c>
      <c r="D667" t="s">
        <v>2170</v>
      </c>
      <c r="E667" t="s">
        <v>2171</v>
      </c>
      <c r="F667" s="207">
        <v>47026</v>
      </c>
      <c r="G667">
        <v>2.5</v>
      </c>
      <c r="H667">
        <v>60</v>
      </c>
      <c r="I667">
        <v>58947</v>
      </c>
      <c r="J667">
        <v>3.3679999999999999</v>
      </c>
      <c r="K667">
        <v>10422</v>
      </c>
      <c r="L667">
        <v>62532</v>
      </c>
      <c r="M667">
        <v>-276</v>
      </c>
      <c r="N667">
        <v>3861</v>
      </c>
      <c r="O667">
        <v>426</v>
      </c>
      <c r="P667">
        <v>2944</v>
      </c>
      <c r="Q667">
        <v>491</v>
      </c>
      <c r="S667">
        <v>0</v>
      </c>
      <c r="T667">
        <v>470</v>
      </c>
      <c r="U667">
        <v>40</v>
      </c>
      <c r="V667">
        <v>2.4758</v>
      </c>
      <c r="W667">
        <v>2.3969333332999998</v>
      </c>
      <c r="X667">
        <v>7.9860333333</v>
      </c>
      <c r="Z667">
        <v>10420.85</v>
      </c>
      <c r="AB667">
        <v>10426.18</v>
      </c>
      <c r="AD667">
        <v>10420.1</v>
      </c>
      <c r="AF667" t="s">
        <v>182</v>
      </c>
      <c r="AG667" t="s">
        <v>185</v>
      </c>
      <c r="AI667" t="s">
        <v>186</v>
      </c>
      <c r="AJ667" t="s">
        <v>2172</v>
      </c>
      <c r="AK667" t="s">
        <v>188</v>
      </c>
    </row>
    <row r="668" spans="1:37" x14ac:dyDescent="0.3">
      <c r="A668">
        <v>8008</v>
      </c>
      <c r="B668" s="207">
        <v>46121</v>
      </c>
      <c r="C668" t="s">
        <v>438</v>
      </c>
      <c r="D668" t="s">
        <v>2173</v>
      </c>
      <c r="E668" t="s">
        <v>2174</v>
      </c>
      <c r="F668" s="207">
        <v>47118</v>
      </c>
      <c r="G668">
        <v>2.5</v>
      </c>
      <c r="H668">
        <v>64128</v>
      </c>
      <c r="I668">
        <v>62652464</v>
      </c>
      <c r="J668">
        <v>3.4550000000000001</v>
      </c>
      <c r="K668">
        <v>10312</v>
      </c>
      <c r="L668">
        <v>66128793</v>
      </c>
      <c r="M668">
        <v>-227490</v>
      </c>
      <c r="N668">
        <v>3703819</v>
      </c>
      <c r="O668">
        <v>449133</v>
      </c>
      <c r="P668">
        <v>1882738</v>
      </c>
      <c r="Q668">
        <v>1371948</v>
      </c>
      <c r="S668">
        <v>0</v>
      </c>
      <c r="T668">
        <v>326440</v>
      </c>
      <c r="U668">
        <v>32630</v>
      </c>
      <c r="V668">
        <v>2.7278666666000002</v>
      </c>
      <c r="W668">
        <v>2.6379999999999999</v>
      </c>
      <c r="X668">
        <v>9.4481333332999995</v>
      </c>
      <c r="Z668">
        <v>10310.89</v>
      </c>
      <c r="AB668">
        <v>10315.32</v>
      </c>
      <c r="AD668">
        <v>10310.620000000001</v>
      </c>
      <c r="AF668" t="s">
        <v>182</v>
      </c>
      <c r="AG668" t="s">
        <v>185</v>
      </c>
      <c r="AI668" t="s">
        <v>186</v>
      </c>
      <c r="AJ668" t="s">
        <v>2175</v>
      </c>
      <c r="AK668" t="s">
        <v>188</v>
      </c>
    </row>
    <row r="669" spans="1:37" x14ac:dyDescent="0.3">
      <c r="A669">
        <v>8008</v>
      </c>
      <c r="B669" s="207">
        <v>46121</v>
      </c>
      <c r="C669" t="s">
        <v>438</v>
      </c>
      <c r="D669" t="s">
        <v>2176</v>
      </c>
      <c r="E669" t="s">
        <v>2177</v>
      </c>
      <c r="F669" s="207">
        <v>47208</v>
      </c>
      <c r="G669">
        <v>2.5</v>
      </c>
      <c r="H669">
        <v>5383</v>
      </c>
      <c r="I669">
        <v>5258555</v>
      </c>
      <c r="J669">
        <v>3.5419999999999998</v>
      </c>
      <c r="K669">
        <v>10201</v>
      </c>
      <c r="L669">
        <v>5491197</v>
      </c>
      <c r="M669">
        <v>-43698</v>
      </c>
      <c r="N669">
        <v>276340</v>
      </c>
      <c r="O669">
        <v>37776</v>
      </c>
      <c r="P669">
        <v>227221</v>
      </c>
      <c r="Q669">
        <v>11343</v>
      </c>
      <c r="S669">
        <v>0</v>
      </c>
      <c r="T669">
        <v>37090</v>
      </c>
      <c r="U669">
        <v>3700</v>
      </c>
      <c r="V669">
        <v>2.9744000000000002</v>
      </c>
      <c r="W669">
        <v>2.8720666665999999</v>
      </c>
      <c r="X669">
        <v>11.0145666666</v>
      </c>
      <c r="Z669">
        <v>10202.31</v>
      </c>
      <c r="AB669">
        <v>10202.379999999999</v>
      </c>
      <c r="AD669">
        <v>10199.969999999999</v>
      </c>
      <c r="AF669" t="s">
        <v>182</v>
      </c>
      <c r="AG669" t="s">
        <v>185</v>
      </c>
      <c r="AI669" t="s">
        <v>186</v>
      </c>
      <c r="AJ669" t="s">
        <v>2178</v>
      </c>
      <c r="AK669" t="s">
        <v>188</v>
      </c>
    </row>
    <row r="670" spans="1:37" x14ac:dyDescent="0.3">
      <c r="A670">
        <v>8008</v>
      </c>
      <c r="B670" s="207">
        <v>46121</v>
      </c>
      <c r="C670" t="s">
        <v>438</v>
      </c>
      <c r="D670" t="s">
        <v>2179</v>
      </c>
      <c r="E670" t="s">
        <v>2180</v>
      </c>
      <c r="F670" s="207">
        <v>47238</v>
      </c>
      <c r="G670">
        <v>2.5</v>
      </c>
      <c r="H670">
        <v>74803</v>
      </c>
      <c r="I670">
        <v>72922280</v>
      </c>
      <c r="J670">
        <v>3.552</v>
      </c>
      <c r="K670">
        <v>10169</v>
      </c>
      <c r="L670">
        <v>76067169</v>
      </c>
      <c r="M670">
        <v>-535748</v>
      </c>
      <c r="N670">
        <v>3680637</v>
      </c>
      <c r="O670">
        <v>496510</v>
      </c>
      <c r="P670">
        <v>1323905</v>
      </c>
      <c r="Q670">
        <v>1860222</v>
      </c>
      <c r="S670">
        <v>0</v>
      </c>
      <c r="T670">
        <v>254830</v>
      </c>
      <c r="U670">
        <v>25460</v>
      </c>
      <c r="V670">
        <v>3.0566</v>
      </c>
      <c r="W670">
        <v>2.9514999999999998</v>
      </c>
      <c r="X670">
        <v>11.544766666599999</v>
      </c>
      <c r="Z670">
        <v>10169.42</v>
      </c>
      <c r="AB670">
        <v>10170.39</v>
      </c>
      <c r="AD670">
        <v>10167.92</v>
      </c>
      <c r="AF670" t="s">
        <v>182</v>
      </c>
      <c r="AG670" t="s">
        <v>185</v>
      </c>
      <c r="AI670" t="s">
        <v>186</v>
      </c>
      <c r="AJ670" t="s">
        <v>2181</v>
      </c>
      <c r="AK670" t="s">
        <v>188</v>
      </c>
    </row>
    <row r="671" spans="1:37" x14ac:dyDescent="0.3">
      <c r="A671">
        <v>8008</v>
      </c>
      <c r="B671" s="207">
        <v>46121</v>
      </c>
      <c r="C671" t="s">
        <v>438</v>
      </c>
      <c r="D671" t="s">
        <v>2182</v>
      </c>
      <c r="E671" t="s">
        <v>2183</v>
      </c>
      <c r="F671" s="207">
        <v>47269</v>
      </c>
      <c r="G671">
        <v>2.5</v>
      </c>
      <c r="H671">
        <v>388</v>
      </c>
      <c r="I671">
        <v>378371</v>
      </c>
      <c r="J671">
        <v>3.5539999999999998</v>
      </c>
      <c r="K671">
        <v>10138</v>
      </c>
      <c r="L671">
        <v>393354</v>
      </c>
      <c r="M671">
        <v>-3255</v>
      </c>
      <c r="N671">
        <v>18238</v>
      </c>
      <c r="O671">
        <v>2712</v>
      </c>
      <c r="P671">
        <v>12020</v>
      </c>
      <c r="Q671">
        <v>3506</v>
      </c>
      <c r="S671">
        <v>0</v>
      </c>
      <c r="T671">
        <v>2060</v>
      </c>
      <c r="U671">
        <v>200</v>
      </c>
      <c r="V671">
        <v>3.1415666666000002</v>
      </c>
      <c r="W671">
        <v>3.0341999999999998</v>
      </c>
      <c r="X671">
        <v>12.098100000000001</v>
      </c>
      <c r="Z671">
        <v>10137.969999999999</v>
      </c>
      <c r="AB671">
        <v>10139.58</v>
      </c>
      <c r="AD671">
        <v>10136.73</v>
      </c>
      <c r="AF671" t="s">
        <v>182</v>
      </c>
      <c r="AG671" t="s">
        <v>185</v>
      </c>
      <c r="AI671" t="s">
        <v>186</v>
      </c>
      <c r="AJ671" t="s">
        <v>2184</v>
      </c>
      <c r="AK671" t="s">
        <v>188</v>
      </c>
    </row>
    <row r="672" spans="1:37" x14ac:dyDescent="0.3">
      <c r="A672">
        <v>8008</v>
      </c>
      <c r="B672" s="207">
        <v>46121</v>
      </c>
      <c r="C672" t="s">
        <v>438</v>
      </c>
      <c r="D672" t="s">
        <v>2185</v>
      </c>
      <c r="E672" t="s">
        <v>2186</v>
      </c>
      <c r="F672" s="207">
        <v>47330</v>
      </c>
      <c r="G672">
        <v>2.5</v>
      </c>
      <c r="H672">
        <v>2919</v>
      </c>
      <c r="I672">
        <v>2841546</v>
      </c>
      <c r="J672">
        <v>3.5590000000000002</v>
      </c>
      <c r="K672">
        <v>10077</v>
      </c>
      <c r="L672">
        <v>2941476</v>
      </c>
      <c r="M672">
        <v>-24694</v>
      </c>
      <c r="N672">
        <v>124624</v>
      </c>
      <c r="O672">
        <v>20316</v>
      </c>
      <c r="P672">
        <v>97479</v>
      </c>
      <c r="Q672">
        <v>6829</v>
      </c>
      <c r="S672">
        <v>0</v>
      </c>
      <c r="T672">
        <v>16480</v>
      </c>
      <c r="U672">
        <v>1640</v>
      </c>
      <c r="V672">
        <v>3.3086666666000002</v>
      </c>
      <c r="W672">
        <v>3.1964999999999999</v>
      </c>
      <c r="X672">
        <v>13.2372</v>
      </c>
      <c r="Z672">
        <v>10076.129999999999</v>
      </c>
      <c r="AB672">
        <v>10079.75</v>
      </c>
      <c r="AD672">
        <v>10075.48</v>
      </c>
      <c r="AF672" t="s">
        <v>182</v>
      </c>
      <c r="AG672" t="s">
        <v>185</v>
      </c>
      <c r="AI672" t="s">
        <v>186</v>
      </c>
      <c r="AJ672" t="s">
        <v>2187</v>
      </c>
      <c r="AK672" t="s">
        <v>188</v>
      </c>
    </row>
    <row r="673" spans="1:37" x14ac:dyDescent="0.3">
      <c r="A673">
        <v>8008</v>
      </c>
      <c r="B673" s="207">
        <v>46121</v>
      </c>
      <c r="C673" t="s">
        <v>438</v>
      </c>
      <c r="D673" t="s">
        <v>2188</v>
      </c>
      <c r="E673" t="s">
        <v>2189</v>
      </c>
      <c r="F673" s="207">
        <v>47391</v>
      </c>
      <c r="G673">
        <v>2.5</v>
      </c>
      <c r="H673">
        <v>28336</v>
      </c>
      <c r="I673">
        <v>27127614</v>
      </c>
      <c r="J673">
        <v>3.5619999999999998</v>
      </c>
      <c r="K673">
        <v>10016</v>
      </c>
      <c r="L673">
        <v>28381336</v>
      </c>
      <c r="M673">
        <v>165606</v>
      </c>
      <c r="N673">
        <v>1088116</v>
      </c>
      <c r="O673">
        <v>83056</v>
      </c>
      <c r="P673">
        <v>149553</v>
      </c>
      <c r="Q673">
        <v>855507</v>
      </c>
      <c r="S673">
        <v>0</v>
      </c>
      <c r="T673">
        <v>32540</v>
      </c>
      <c r="U673">
        <v>3230</v>
      </c>
      <c r="V673">
        <v>3.4758</v>
      </c>
      <c r="W673">
        <v>3.3581333333000001</v>
      </c>
      <c r="X673">
        <v>14.4421666666</v>
      </c>
      <c r="Z673">
        <v>10015.120000000001</v>
      </c>
      <c r="AB673">
        <v>10020.58</v>
      </c>
      <c r="AD673">
        <v>10015.120000000001</v>
      </c>
      <c r="AF673" t="s">
        <v>182</v>
      </c>
      <c r="AG673" t="s">
        <v>185</v>
      </c>
      <c r="AI673" t="s">
        <v>186</v>
      </c>
      <c r="AJ673" t="s">
        <v>2190</v>
      </c>
      <c r="AK673" t="s">
        <v>188</v>
      </c>
    </row>
    <row r="674" spans="1:37" x14ac:dyDescent="0.3">
      <c r="A674">
        <v>8008</v>
      </c>
      <c r="B674" s="207">
        <v>46121</v>
      </c>
      <c r="C674" t="s">
        <v>438</v>
      </c>
      <c r="D674" t="s">
        <v>2191</v>
      </c>
      <c r="E674" t="s">
        <v>2192</v>
      </c>
      <c r="F674" s="207">
        <v>47422</v>
      </c>
      <c r="G674">
        <v>2.5</v>
      </c>
      <c r="H674">
        <v>74572</v>
      </c>
      <c r="I674">
        <v>72330422</v>
      </c>
      <c r="J674">
        <v>3.5649999999999999</v>
      </c>
      <c r="K674">
        <v>9986</v>
      </c>
      <c r="L674">
        <v>74467599</v>
      </c>
      <c r="M674">
        <v>-564202</v>
      </c>
      <c r="N674">
        <v>2701379</v>
      </c>
      <c r="O674">
        <v>496292</v>
      </c>
      <c r="P674">
        <v>1945253</v>
      </c>
      <c r="Q674">
        <v>259834</v>
      </c>
      <c r="S674">
        <v>0</v>
      </c>
      <c r="T674">
        <v>341800</v>
      </c>
      <c r="U674">
        <v>34180</v>
      </c>
      <c r="V674">
        <v>3.5607000000000002</v>
      </c>
      <c r="W674">
        <v>3.4400333333000002</v>
      </c>
      <c r="X674">
        <v>15.0791333333</v>
      </c>
      <c r="Z674">
        <v>9983.99</v>
      </c>
      <c r="AB674">
        <v>9990.6</v>
      </c>
      <c r="AD674">
        <v>9984.33</v>
      </c>
      <c r="AF674" t="s">
        <v>182</v>
      </c>
      <c r="AG674" t="s">
        <v>185</v>
      </c>
      <c r="AI674" t="s">
        <v>186</v>
      </c>
      <c r="AJ674" t="s">
        <v>2193</v>
      </c>
      <c r="AK674" t="s">
        <v>188</v>
      </c>
    </row>
    <row r="675" spans="1:37" x14ac:dyDescent="0.3">
      <c r="A675">
        <v>8008</v>
      </c>
      <c r="B675" s="207">
        <v>46121</v>
      </c>
      <c r="C675" t="s">
        <v>438</v>
      </c>
      <c r="D675" t="s">
        <v>2194</v>
      </c>
      <c r="E675" t="s">
        <v>2195</v>
      </c>
      <c r="F675" s="207">
        <v>47573</v>
      </c>
      <c r="G675">
        <v>2.5</v>
      </c>
      <c r="H675">
        <v>9089</v>
      </c>
      <c r="I675">
        <v>8775911</v>
      </c>
      <c r="J675">
        <v>3.5790000000000002</v>
      </c>
      <c r="K675">
        <v>9838</v>
      </c>
      <c r="L675">
        <v>8941757</v>
      </c>
      <c r="M675">
        <v>-67682</v>
      </c>
      <c r="N675">
        <v>233528</v>
      </c>
      <c r="O675">
        <v>62228</v>
      </c>
      <c r="P675">
        <v>150204</v>
      </c>
      <c r="Q675">
        <v>21096</v>
      </c>
      <c r="S675">
        <v>0</v>
      </c>
      <c r="T675">
        <v>29730</v>
      </c>
      <c r="U675">
        <v>2960</v>
      </c>
      <c r="V675">
        <v>3.9744000000000002</v>
      </c>
      <c r="W675">
        <v>3.8365</v>
      </c>
      <c r="X675">
        <v>18.414633333299999</v>
      </c>
      <c r="Z675">
        <v>9830.84</v>
      </c>
      <c r="AB675">
        <v>9847.52</v>
      </c>
      <c r="AD675">
        <v>9837.6299999999992</v>
      </c>
      <c r="AF675" t="s">
        <v>182</v>
      </c>
      <c r="AG675" t="s">
        <v>185</v>
      </c>
      <c r="AI675" t="s">
        <v>186</v>
      </c>
      <c r="AJ675" t="s">
        <v>2196</v>
      </c>
      <c r="AK675" t="s">
        <v>188</v>
      </c>
    </row>
    <row r="676" spans="1:37" x14ac:dyDescent="0.3">
      <c r="A676">
        <v>8008</v>
      </c>
      <c r="B676" s="207">
        <v>46121</v>
      </c>
      <c r="C676" t="s">
        <v>438</v>
      </c>
      <c r="D676" t="s">
        <v>2197</v>
      </c>
      <c r="E676" t="s">
        <v>2198</v>
      </c>
      <c r="F676" s="207">
        <v>47664</v>
      </c>
      <c r="G676">
        <v>2.5</v>
      </c>
      <c r="H676">
        <v>135174</v>
      </c>
      <c r="I676">
        <v>130038191</v>
      </c>
      <c r="J676">
        <v>3.6059999999999999</v>
      </c>
      <c r="K676">
        <v>9741</v>
      </c>
      <c r="L676">
        <v>131672992</v>
      </c>
      <c r="M676">
        <v>-987386</v>
      </c>
      <c r="N676">
        <v>2622187</v>
      </c>
      <c r="O676">
        <v>919799</v>
      </c>
      <c r="P676">
        <v>1427582</v>
      </c>
      <c r="Q676">
        <v>274806</v>
      </c>
      <c r="S676">
        <v>0</v>
      </c>
      <c r="T676">
        <v>328610</v>
      </c>
      <c r="U676">
        <v>32820</v>
      </c>
      <c r="V676">
        <v>4.2237666666000004</v>
      </c>
      <c r="W676">
        <v>4.0778666666000003</v>
      </c>
      <c r="X676">
        <v>20.509933333300001</v>
      </c>
      <c r="Z676">
        <v>9732.91</v>
      </c>
      <c r="AB676">
        <v>9748.8799999999992</v>
      </c>
      <c r="AD676">
        <v>9742.0499999999993</v>
      </c>
      <c r="AF676" t="s">
        <v>182</v>
      </c>
      <c r="AG676" t="s">
        <v>185</v>
      </c>
      <c r="AI676" t="s">
        <v>186</v>
      </c>
      <c r="AJ676" t="s">
        <v>2199</v>
      </c>
      <c r="AK676" t="s">
        <v>188</v>
      </c>
    </row>
    <row r="677" spans="1:37" x14ac:dyDescent="0.3">
      <c r="A677">
        <v>8008</v>
      </c>
      <c r="B677" s="207">
        <v>46121</v>
      </c>
      <c r="C677" t="s">
        <v>438</v>
      </c>
      <c r="D677" t="s">
        <v>2200</v>
      </c>
      <c r="E677" t="s">
        <v>2201</v>
      </c>
      <c r="F677" s="207">
        <v>47695</v>
      </c>
      <c r="G677">
        <v>2.5</v>
      </c>
      <c r="H677">
        <v>125943</v>
      </c>
      <c r="I677">
        <v>121009472</v>
      </c>
      <c r="J677">
        <v>3.6160000000000001</v>
      </c>
      <c r="K677">
        <v>9707</v>
      </c>
      <c r="L677">
        <v>122252870</v>
      </c>
      <c r="M677">
        <v>-930756</v>
      </c>
      <c r="N677">
        <v>2174154</v>
      </c>
      <c r="O677">
        <v>855191</v>
      </c>
      <c r="P677">
        <v>1054035</v>
      </c>
      <c r="Q677">
        <v>264928</v>
      </c>
      <c r="S677">
        <v>0</v>
      </c>
      <c r="T677">
        <v>267280</v>
      </c>
      <c r="U677">
        <v>26700</v>
      </c>
      <c r="V677">
        <v>4.3086666665999998</v>
      </c>
      <c r="W677">
        <v>4.1598666666000002</v>
      </c>
      <c r="X677">
        <v>21.252233333300001</v>
      </c>
      <c r="Z677">
        <v>9699.2199999999993</v>
      </c>
      <c r="AB677">
        <v>9715.0499999999993</v>
      </c>
      <c r="AD677">
        <v>9708.91</v>
      </c>
      <c r="AF677" t="s">
        <v>182</v>
      </c>
      <c r="AG677" t="s">
        <v>185</v>
      </c>
      <c r="AI677" t="s">
        <v>186</v>
      </c>
      <c r="AJ677" t="s">
        <v>2202</v>
      </c>
      <c r="AK677" t="s">
        <v>188</v>
      </c>
    </row>
    <row r="678" spans="1:37" x14ac:dyDescent="0.3">
      <c r="A678">
        <v>8008</v>
      </c>
      <c r="B678" s="207">
        <v>46121</v>
      </c>
      <c r="C678" t="s">
        <v>438</v>
      </c>
      <c r="D678" t="s">
        <v>2203</v>
      </c>
      <c r="E678" t="s">
        <v>2204</v>
      </c>
      <c r="F678" s="207">
        <v>47726</v>
      </c>
      <c r="G678">
        <v>2</v>
      </c>
      <c r="H678">
        <v>54551</v>
      </c>
      <c r="I678">
        <v>51158172</v>
      </c>
      <c r="J678">
        <v>3.6240000000000001</v>
      </c>
      <c r="K678">
        <v>9440</v>
      </c>
      <c r="L678">
        <v>51496144</v>
      </c>
      <c r="M678">
        <v>-323030</v>
      </c>
      <c r="N678">
        <v>661002</v>
      </c>
      <c r="O678">
        <v>295756</v>
      </c>
      <c r="P678">
        <v>278059</v>
      </c>
      <c r="Q678">
        <v>87187</v>
      </c>
      <c r="S678">
        <v>0</v>
      </c>
      <c r="T678">
        <v>80310</v>
      </c>
      <c r="U678">
        <v>8020</v>
      </c>
      <c r="V678">
        <v>4.3936000000000002</v>
      </c>
      <c r="W678">
        <v>4.2417666666000002</v>
      </c>
      <c r="X678">
        <v>22.011633333300001</v>
      </c>
      <c r="Z678">
        <v>9433.5</v>
      </c>
      <c r="AB678">
        <v>9447.02</v>
      </c>
      <c r="AD678">
        <v>9441.91</v>
      </c>
      <c r="AF678" t="s">
        <v>182</v>
      </c>
      <c r="AG678" t="s">
        <v>185</v>
      </c>
      <c r="AI678" t="s">
        <v>186</v>
      </c>
      <c r="AJ678" t="s">
        <v>2205</v>
      </c>
      <c r="AK678" t="s">
        <v>188</v>
      </c>
    </row>
    <row r="679" spans="1:37" x14ac:dyDescent="0.3">
      <c r="A679">
        <v>8008</v>
      </c>
      <c r="B679" s="207">
        <v>46121</v>
      </c>
      <c r="C679" t="s">
        <v>438</v>
      </c>
      <c r="D679" t="s">
        <v>2206</v>
      </c>
      <c r="E679" t="s">
        <v>2207</v>
      </c>
      <c r="F679" s="207">
        <v>47756</v>
      </c>
      <c r="G679">
        <v>2</v>
      </c>
      <c r="H679">
        <v>20685</v>
      </c>
      <c r="I679">
        <v>19368228</v>
      </c>
      <c r="J679">
        <v>3.633</v>
      </c>
      <c r="K679">
        <v>9409</v>
      </c>
      <c r="L679">
        <v>19462516</v>
      </c>
      <c r="M679">
        <v>-122308</v>
      </c>
      <c r="N679">
        <v>216596</v>
      </c>
      <c r="O679">
        <v>111965</v>
      </c>
      <c r="P679">
        <v>69881</v>
      </c>
      <c r="Q679">
        <v>34750</v>
      </c>
      <c r="S679">
        <v>0</v>
      </c>
      <c r="T679">
        <v>25450</v>
      </c>
      <c r="U679">
        <v>2540</v>
      </c>
      <c r="V679">
        <v>4.4757999999999996</v>
      </c>
      <c r="W679">
        <v>4.3208666665999997</v>
      </c>
      <c r="X679">
        <v>22.7617666666</v>
      </c>
      <c r="Z679">
        <v>9402.89</v>
      </c>
      <c r="AB679">
        <v>9414.9699999999993</v>
      </c>
      <c r="AD679">
        <v>9411.0300000000007</v>
      </c>
      <c r="AF679" t="s">
        <v>182</v>
      </c>
      <c r="AG679" t="s">
        <v>185</v>
      </c>
      <c r="AI679" t="s">
        <v>186</v>
      </c>
      <c r="AJ679" t="s">
        <v>2208</v>
      </c>
      <c r="AK679" t="s">
        <v>188</v>
      </c>
    </row>
    <row r="680" spans="1:37" x14ac:dyDescent="0.3">
      <c r="A680">
        <v>8008</v>
      </c>
      <c r="B680" s="207">
        <v>46121</v>
      </c>
      <c r="C680" t="s">
        <v>438</v>
      </c>
      <c r="D680" t="s">
        <v>2209</v>
      </c>
      <c r="E680" t="s">
        <v>2210</v>
      </c>
      <c r="F680" s="207">
        <v>47817</v>
      </c>
      <c r="G680">
        <v>2</v>
      </c>
      <c r="H680">
        <v>14680</v>
      </c>
      <c r="I680">
        <v>13699736</v>
      </c>
      <c r="J680">
        <v>3.6509999999999998</v>
      </c>
      <c r="K680">
        <v>9345</v>
      </c>
      <c r="L680">
        <v>13718459</v>
      </c>
      <c r="M680">
        <v>-85982</v>
      </c>
      <c r="N680">
        <v>104705</v>
      </c>
      <c r="O680">
        <v>79194</v>
      </c>
      <c r="P680">
        <v>1649</v>
      </c>
      <c r="Q680">
        <v>23862</v>
      </c>
      <c r="S680">
        <v>0</v>
      </c>
      <c r="T680">
        <v>11310</v>
      </c>
      <c r="U680">
        <v>1130</v>
      </c>
      <c r="V680">
        <v>4.6429</v>
      </c>
      <c r="W680">
        <v>4.4810999999999996</v>
      </c>
      <c r="X680">
        <v>24.332899999999999</v>
      </c>
      <c r="Z680">
        <v>9339.73</v>
      </c>
      <c r="AB680">
        <v>9349.64</v>
      </c>
      <c r="AD680">
        <v>9348.5400000000009</v>
      </c>
      <c r="AF680" t="s">
        <v>182</v>
      </c>
      <c r="AG680" t="s">
        <v>185</v>
      </c>
      <c r="AI680" t="s">
        <v>186</v>
      </c>
      <c r="AJ680" t="s">
        <v>2211</v>
      </c>
      <c r="AK680" t="s">
        <v>188</v>
      </c>
    </row>
    <row r="681" spans="1:37" x14ac:dyDescent="0.3">
      <c r="A681">
        <v>8008</v>
      </c>
      <c r="B681" s="207">
        <v>46121</v>
      </c>
      <c r="C681" t="s">
        <v>438</v>
      </c>
      <c r="D681" t="s">
        <v>2212</v>
      </c>
      <c r="E681" t="s">
        <v>2213</v>
      </c>
      <c r="F681" s="207">
        <v>47848</v>
      </c>
      <c r="G681">
        <v>2</v>
      </c>
      <c r="H681">
        <v>15949</v>
      </c>
      <c r="I681">
        <v>14729557</v>
      </c>
      <c r="J681">
        <v>3.661</v>
      </c>
      <c r="K681">
        <v>9313</v>
      </c>
      <c r="L681">
        <v>14853302</v>
      </c>
      <c r="M681">
        <v>36981</v>
      </c>
      <c r="N681">
        <v>86764</v>
      </c>
      <c r="O681">
        <v>63045</v>
      </c>
      <c r="P681">
        <v>0</v>
      </c>
      <c r="Q681">
        <v>23719</v>
      </c>
      <c r="S681">
        <v>0</v>
      </c>
      <c r="T681">
        <v>8810</v>
      </c>
      <c r="U681">
        <v>870</v>
      </c>
      <c r="V681">
        <v>4.7278666665999998</v>
      </c>
      <c r="W681">
        <v>4.5622333333</v>
      </c>
      <c r="X681">
        <v>25.154666666600001</v>
      </c>
      <c r="Z681">
        <v>9307.58</v>
      </c>
      <c r="AB681">
        <v>9316.77</v>
      </c>
      <c r="AD681">
        <v>9316.51</v>
      </c>
      <c r="AF681" t="s">
        <v>182</v>
      </c>
      <c r="AG681" t="s">
        <v>185</v>
      </c>
      <c r="AI681" t="s">
        <v>186</v>
      </c>
      <c r="AJ681" t="s">
        <v>2214</v>
      </c>
      <c r="AK681" t="s">
        <v>188</v>
      </c>
    </row>
    <row r="682" spans="1:37" x14ac:dyDescent="0.3">
      <c r="A682">
        <v>8008</v>
      </c>
      <c r="B682" s="207">
        <v>46121</v>
      </c>
      <c r="C682" t="s">
        <v>438</v>
      </c>
      <c r="D682" t="s">
        <v>2215</v>
      </c>
      <c r="E682" t="s">
        <v>2216</v>
      </c>
      <c r="F682" s="207">
        <v>47879</v>
      </c>
      <c r="G682">
        <v>2</v>
      </c>
      <c r="H682">
        <v>5350</v>
      </c>
      <c r="I682">
        <v>4953860</v>
      </c>
      <c r="J682">
        <v>3.6709999999999998</v>
      </c>
      <c r="K682">
        <v>9281</v>
      </c>
      <c r="L682">
        <v>4965335</v>
      </c>
      <c r="M682">
        <v>-8590</v>
      </c>
      <c r="N682">
        <v>20065</v>
      </c>
      <c r="O682">
        <v>12347</v>
      </c>
      <c r="P682">
        <v>0</v>
      </c>
      <c r="Q682">
        <v>7718</v>
      </c>
      <c r="S682">
        <v>0</v>
      </c>
      <c r="T682">
        <v>1720</v>
      </c>
      <c r="U682">
        <v>170</v>
      </c>
      <c r="V682">
        <v>4.8128000000000002</v>
      </c>
      <c r="W682">
        <v>4.6432000000000002</v>
      </c>
      <c r="X682">
        <v>25.9916666666</v>
      </c>
      <c r="Z682">
        <v>9274.6299999999992</v>
      </c>
      <c r="AB682">
        <v>9283.5</v>
      </c>
      <c r="AD682">
        <v>9284.98</v>
      </c>
      <c r="AF682" t="s">
        <v>182</v>
      </c>
      <c r="AG682" t="s">
        <v>185</v>
      </c>
      <c r="AI682" t="s">
        <v>186</v>
      </c>
      <c r="AJ682" t="s">
        <v>2217</v>
      </c>
      <c r="AK682" t="s">
        <v>188</v>
      </c>
    </row>
    <row r="683" spans="1:37" x14ac:dyDescent="0.3">
      <c r="A683">
        <v>8008</v>
      </c>
      <c r="B683" s="207">
        <v>46121</v>
      </c>
      <c r="C683" t="s">
        <v>438</v>
      </c>
      <c r="D683" t="s">
        <v>2218</v>
      </c>
      <c r="E683" t="s">
        <v>2219</v>
      </c>
      <c r="F683" s="207">
        <v>47907</v>
      </c>
      <c r="G683">
        <v>2</v>
      </c>
      <c r="H683">
        <v>3510</v>
      </c>
      <c r="I683">
        <v>3180457</v>
      </c>
      <c r="J683">
        <v>3.681</v>
      </c>
      <c r="K683">
        <v>9251</v>
      </c>
      <c r="L683">
        <v>3247101</v>
      </c>
      <c r="M683">
        <v>58828</v>
      </c>
      <c r="N683">
        <v>7816</v>
      </c>
      <c r="O683">
        <v>1954</v>
      </c>
      <c r="P683">
        <v>0</v>
      </c>
      <c r="Q683">
        <v>5862</v>
      </c>
      <c r="S683">
        <v>0</v>
      </c>
      <c r="T683">
        <v>270</v>
      </c>
      <c r="U683">
        <v>20</v>
      </c>
      <c r="V683">
        <v>4.8895</v>
      </c>
      <c r="W683">
        <v>4.7161333333000002</v>
      </c>
      <c r="X683">
        <v>26.7605333333</v>
      </c>
      <c r="Z683">
        <v>9244</v>
      </c>
      <c r="AB683">
        <v>9253.84</v>
      </c>
      <c r="AD683">
        <v>9256.2199999999993</v>
      </c>
      <c r="AF683" t="s">
        <v>182</v>
      </c>
      <c r="AG683" t="s">
        <v>185</v>
      </c>
      <c r="AI683" t="s">
        <v>186</v>
      </c>
      <c r="AJ683" t="s">
        <v>2220</v>
      </c>
      <c r="AK683" t="s">
        <v>188</v>
      </c>
    </row>
    <row r="684" spans="1:37" x14ac:dyDescent="0.3">
      <c r="A684">
        <v>8008</v>
      </c>
      <c r="B684" s="207">
        <v>46121</v>
      </c>
      <c r="C684" t="s">
        <v>438</v>
      </c>
      <c r="D684" t="s">
        <v>3383</v>
      </c>
      <c r="E684" t="s">
        <v>3384</v>
      </c>
      <c r="F684" s="207">
        <v>47938</v>
      </c>
      <c r="G684">
        <v>2</v>
      </c>
      <c r="H684">
        <v>41812</v>
      </c>
      <c r="I684">
        <v>38347179</v>
      </c>
      <c r="J684">
        <v>3.6920000000000002</v>
      </c>
      <c r="K684">
        <v>9218</v>
      </c>
      <c r="L684">
        <v>38542301</v>
      </c>
      <c r="M684">
        <v>172432</v>
      </c>
      <c r="N684">
        <v>22690</v>
      </c>
      <c r="O684">
        <v>3178</v>
      </c>
      <c r="P684">
        <v>0</v>
      </c>
      <c r="Q684">
        <v>19512</v>
      </c>
      <c r="S684">
        <v>0</v>
      </c>
      <c r="T684">
        <v>440</v>
      </c>
      <c r="U684">
        <v>40</v>
      </c>
      <c r="V684">
        <v>4.9744000000000002</v>
      </c>
      <c r="W684">
        <v>4.7967333332999997</v>
      </c>
      <c r="X684">
        <v>27.626300000000001</v>
      </c>
      <c r="Z684">
        <v>9210.68</v>
      </c>
      <c r="AB684">
        <v>9220.19</v>
      </c>
      <c r="AD684">
        <v>9224.82</v>
      </c>
      <c r="AF684" t="s">
        <v>182</v>
      </c>
      <c r="AG684" t="s">
        <v>185</v>
      </c>
      <c r="AI684" t="s">
        <v>186</v>
      </c>
      <c r="AJ684" t="s">
        <v>3385</v>
      </c>
      <c r="AK684" t="s">
        <v>188</v>
      </c>
    </row>
    <row r="685" spans="1:37" x14ac:dyDescent="0.3">
      <c r="A685">
        <v>8008</v>
      </c>
      <c r="B685" s="207">
        <v>46121</v>
      </c>
      <c r="C685" t="s">
        <v>438</v>
      </c>
      <c r="D685" t="s">
        <v>2221</v>
      </c>
      <c r="E685" t="s">
        <v>2222</v>
      </c>
      <c r="F685" s="207">
        <v>47968</v>
      </c>
      <c r="G685">
        <v>2</v>
      </c>
      <c r="H685">
        <v>220971</v>
      </c>
      <c r="I685">
        <v>200565508</v>
      </c>
      <c r="J685">
        <v>3.7010000000000001</v>
      </c>
      <c r="K685">
        <v>9187</v>
      </c>
      <c r="L685">
        <v>203006056</v>
      </c>
      <c r="M685">
        <v>2440548</v>
      </c>
      <c r="N685">
        <v>0</v>
      </c>
      <c r="O685">
        <v>0</v>
      </c>
      <c r="P685">
        <v>0</v>
      </c>
      <c r="Q685">
        <v>0</v>
      </c>
      <c r="S685">
        <v>0</v>
      </c>
      <c r="T685">
        <v>0</v>
      </c>
      <c r="U685">
        <v>0</v>
      </c>
      <c r="V685">
        <v>5.0566000000000004</v>
      </c>
      <c r="W685">
        <v>4.8758666666000003</v>
      </c>
      <c r="X685">
        <v>28.459566666600001</v>
      </c>
      <c r="Z685">
        <v>9177.61</v>
      </c>
      <c r="AB685">
        <v>9189.0300000000007</v>
      </c>
      <c r="AD685">
        <v>9195.08</v>
      </c>
      <c r="AF685" t="s">
        <v>182</v>
      </c>
      <c r="AG685" t="s">
        <v>185</v>
      </c>
      <c r="AI685" t="s">
        <v>186</v>
      </c>
      <c r="AJ685" t="s">
        <v>2223</v>
      </c>
      <c r="AK685" t="s">
        <v>188</v>
      </c>
    </row>
    <row r="686" spans="1:37" x14ac:dyDescent="0.3">
      <c r="A686">
        <v>8008</v>
      </c>
      <c r="B686" s="207">
        <v>46121</v>
      </c>
      <c r="C686" t="s">
        <v>438</v>
      </c>
      <c r="D686" t="s">
        <v>2224</v>
      </c>
      <c r="E686" t="s">
        <v>2225</v>
      </c>
      <c r="F686" s="207">
        <v>46142</v>
      </c>
      <c r="G686">
        <v>1.05</v>
      </c>
      <c r="H686">
        <v>32029</v>
      </c>
      <c r="I686">
        <v>31859467</v>
      </c>
      <c r="J686">
        <v>2.637</v>
      </c>
      <c r="K686">
        <v>10520</v>
      </c>
      <c r="L686">
        <v>33694508</v>
      </c>
      <c r="M686">
        <v>137145</v>
      </c>
      <c r="N686">
        <v>1697896</v>
      </c>
      <c r="O686">
        <v>94994</v>
      </c>
      <c r="P686">
        <v>529301</v>
      </c>
      <c r="Q686">
        <v>1073601</v>
      </c>
      <c r="S686">
        <v>0</v>
      </c>
      <c r="T686">
        <v>87370</v>
      </c>
      <c r="U686">
        <v>8720</v>
      </c>
      <c r="V686">
        <v>5.57E-2</v>
      </c>
      <c r="W686">
        <v>5.4699999999999999E-2</v>
      </c>
      <c r="X686">
        <v>3.9533333300000001E-2</v>
      </c>
      <c r="Z686">
        <v>10520.55</v>
      </c>
      <c r="AB686">
        <v>10521.14</v>
      </c>
      <c r="AD686">
        <v>10520.83</v>
      </c>
      <c r="AF686" t="s">
        <v>182</v>
      </c>
      <c r="AG686" t="s">
        <v>185</v>
      </c>
      <c r="AI686" t="s">
        <v>186</v>
      </c>
      <c r="AJ686" t="s">
        <v>2226</v>
      </c>
      <c r="AK686" t="s">
        <v>188</v>
      </c>
    </row>
    <row r="687" spans="1:37" x14ac:dyDescent="0.3">
      <c r="A687">
        <v>8008</v>
      </c>
      <c r="B687" s="207">
        <v>46121</v>
      </c>
      <c r="C687" t="s">
        <v>438</v>
      </c>
      <c r="D687" t="s">
        <v>2227</v>
      </c>
      <c r="E687" t="s">
        <v>2228</v>
      </c>
      <c r="F687" s="207">
        <v>46173</v>
      </c>
      <c r="G687">
        <v>1.05</v>
      </c>
      <c r="H687">
        <v>375</v>
      </c>
      <c r="I687">
        <v>372563</v>
      </c>
      <c r="J687">
        <v>2.661</v>
      </c>
      <c r="K687">
        <v>10497</v>
      </c>
      <c r="L687">
        <v>393637</v>
      </c>
      <c r="M687">
        <v>1545</v>
      </c>
      <c r="N687">
        <v>19529</v>
      </c>
      <c r="O687">
        <v>1117</v>
      </c>
      <c r="P687">
        <v>67</v>
      </c>
      <c r="Q687">
        <v>18345</v>
      </c>
      <c r="S687">
        <v>0</v>
      </c>
      <c r="T687">
        <v>160</v>
      </c>
      <c r="U687">
        <v>10</v>
      </c>
      <c r="V687">
        <v>0.1406333333</v>
      </c>
      <c r="W687">
        <v>0.13800000000000001</v>
      </c>
      <c r="X687">
        <v>0.1147666666</v>
      </c>
      <c r="Z687">
        <v>10496.69</v>
      </c>
      <c r="AB687">
        <v>10497.5</v>
      </c>
      <c r="AD687">
        <v>10496.83</v>
      </c>
      <c r="AF687" t="s">
        <v>182</v>
      </c>
      <c r="AG687" t="s">
        <v>185</v>
      </c>
      <c r="AI687" t="s">
        <v>186</v>
      </c>
      <c r="AJ687" t="s">
        <v>2229</v>
      </c>
      <c r="AK687" t="s">
        <v>188</v>
      </c>
    </row>
    <row r="688" spans="1:37" x14ac:dyDescent="0.3">
      <c r="A688">
        <v>8008</v>
      </c>
      <c r="B688" s="207">
        <v>46121</v>
      </c>
      <c r="C688" t="s">
        <v>438</v>
      </c>
      <c r="D688" t="s">
        <v>2230</v>
      </c>
      <c r="E688" t="s">
        <v>2231</v>
      </c>
      <c r="F688" s="207">
        <v>46203</v>
      </c>
      <c r="G688">
        <v>1.05</v>
      </c>
      <c r="H688">
        <v>31415</v>
      </c>
      <c r="I688">
        <v>31169938</v>
      </c>
      <c r="J688">
        <v>2.6869999999999998</v>
      </c>
      <c r="K688">
        <v>10473</v>
      </c>
      <c r="L688">
        <v>32900928</v>
      </c>
      <c r="M688">
        <v>123340</v>
      </c>
      <c r="N688">
        <v>1607650</v>
      </c>
      <c r="O688">
        <v>93422</v>
      </c>
      <c r="P688">
        <v>959248</v>
      </c>
      <c r="Q688">
        <v>554980</v>
      </c>
      <c r="S688">
        <v>0</v>
      </c>
      <c r="T688">
        <v>147360</v>
      </c>
      <c r="U688">
        <v>14710</v>
      </c>
      <c r="V688">
        <v>0.22283333329999999</v>
      </c>
      <c r="W688">
        <v>0.2185</v>
      </c>
      <c r="X688">
        <v>0.2051</v>
      </c>
      <c r="Z688">
        <v>10473.31</v>
      </c>
      <c r="AB688">
        <v>10474.17</v>
      </c>
      <c r="AD688">
        <v>10473.290000000001</v>
      </c>
      <c r="AF688" t="s">
        <v>182</v>
      </c>
      <c r="AG688" t="s">
        <v>185</v>
      </c>
      <c r="AI688" t="s">
        <v>186</v>
      </c>
      <c r="AJ688" t="s">
        <v>2232</v>
      </c>
      <c r="AK688" t="s">
        <v>188</v>
      </c>
    </row>
    <row r="689" spans="1:37" x14ac:dyDescent="0.3">
      <c r="A689">
        <v>8008</v>
      </c>
      <c r="B689" s="207">
        <v>46121</v>
      </c>
      <c r="C689" t="s">
        <v>438</v>
      </c>
      <c r="D689" t="s">
        <v>2233</v>
      </c>
      <c r="E689" t="s">
        <v>2234</v>
      </c>
      <c r="F689" s="207">
        <v>46234</v>
      </c>
      <c r="G689">
        <v>1.05</v>
      </c>
      <c r="H689">
        <v>391</v>
      </c>
      <c r="I689">
        <v>387376</v>
      </c>
      <c r="J689">
        <v>2.7320000000000002</v>
      </c>
      <c r="K689">
        <v>10448</v>
      </c>
      <c r="L689">
        <v>408516</v>
      </c>
      <c r="M689">
        <v>1496</v>
      </c>
      <c r="N689">
        <v>19644</v>
      </c>
      <c r="O689">
        <v>1162</v>
      </c>
      <c r="P689">
        <v>1035</v>
      </c>
      <c r="Q689">
        <v>17447</v>
      </c>
      <c r="S689">
        <v>0</v>
      </c>
      <c r="T689">
        <v>300</v>
      </c>
      <c r="U689">
        <v>20</v>
      </c>
      <c r="V689">
        <v>0.30773333330000002</v>
      </c>
      <c r="W689">
        <v>0.30143333329999999</v>
      </c>
      <c r="X689">
        <v>0.31636666660000001</v>
      </c>
      <c r="Z689">
        <v>10447.86</v>
      </c>
      <c r="AB689">
        <v>10449.280000000001</v>
      </c>
      <c r="AD689">
        <v>10448.15</v>
      </c>
      <c r="AF689" t="s">
        <v>182</v>
      </c>
      <c r="AG689" t="s">
        <v>185</v>
      </c>
      <c r="AI689" t="s">
        <v>186</v>
      </c>
      <c r="AJ689" t="s">
        <v>2235</v>
      </c>
      <c r="AK689" t="s">
        <v>188</v>
      </c>
    </row>
    <row r="690" spans="1:37" x14ac:dyDescent="0.3">
      <c r="A690">
        <v>8008</v>
      </c>
      <c r="B690" s="207">
        <v>46121</v>
      </c>
      <c r="C690" t="s">
        <v>438</v>
      </c>
      <c r="D690" t="s">
        <v>2236</v>
      </c>
      <c r="E690" t="s">
        <v>2237</v>
      </c>
      <c r="F690" s="207">
        <v>46265</v>
      </c>
      <c r="G690">
        <v>1.05</v>
      </c>
      <c r="H690">
        <v>5</v>
      </c>
      <c r="I690">
        <v>4947</v>
      </c>
      <c r="J690">
        <v>2.7730000000000001</v>
      </c>
      <c r="K690">
        <v>10422</v>
      </c>
      <c r="L690">
        <v>5211</v>
      </c>
      <c r="M690">
        <v>18</v>
      </c>
      <c r="N690">
        <v>246</v>
      </c>
      <c r="O690">
        <v>15</v>
      </c>
      <c r="P690">
        <v>0</v>
      </c>
      <c r="Q690">
        <v>231</v>
      </c>
      <c r="S690">
        <v>0</v>
      </c>
      <c r="T690">
        <v>0</v>
      </c>
      <c r="U690">
        <v>0</v>
      </c>
      <c r="V690">
        <v>0.39269999999999999</v>
      </c>
      <c r="W690">
        <v>0.38419999999999999</v>
      </c>
      <c r="X690">
        <v>0.44579999999999997</v>
      </c>
      <c r="Z690">
        <v>10421.75</v>
      </c>
      <c r="AB690">
        <v>10423.59</v>
      </c>
      <c r="AD690">
        <v>10423.040000000001</v>
      </c>
      <c r="AF690" t="s">
        <v>182</v>
      </c>
      <c r="AG690" t="s">
        <v>185</v>
      </c>
      <c r="AI690" t="s">
        <v>186</v>
      </c>
      <c r="AJ690" t="s">
        <v>2238</v>
      </c>
      <c r="AK690" t="s">
        <v>188</v>
      </c>
    </row>
    <row r="691" spans="1:37" x14ac:dyDescent="0.3">
      <c r="A691">
        <v>8008</v>
      </c>
      <c r="B691" s="207">
        <v>46121</v>
      </c>
      <c r="C691" t="s">
        <v>438</v>
      </c>
      <c r="D691" t="s">
        <v>2239</v>
      </c>
      <c r="E691" t="s">
        <v>2240</v>
      </c>
      <c r="F691" s="207">
        <v>46295</v>
      </c>
      <c r="G691">
        <v>1.05</v>
      </c>
      <c r="H691">
        <v>12306</v>
      </c>
      <c r="I691">
        <v>12152023</v>
      </c>
      <c r="J691">
        <v>2.81</v>
      </c>
      <c r="K691">
        <v>10397</v>
      </c>
      <c r="L691">
        <v>12794548</v>
      </c>
      <c r="M691">
        <v>46782</v>
      </c>
      <c r="N691">
        <v>595743</v>
      </c>
      <c r="O691">
        <v>35852</v>
      </c>
      <c r="P691">
        <v>21526</v>
      </c>
      <c r="Q691">
        <v>538365</v>
      </c>
      <c r="S691">
        <v>0</v>
      </c>
      <c r="T691">
        <v>8020</v>
      </c>
      <c r="U691">
        <v>790</v>
      </c>
      <c r="V691">
        <v>0.47489999999999999</v>
      </c>
      <c r="W691">
        <v>0.4641666666</v>
      </c>
      <c r="X691">
        <v>0.58816666660000005</v>
      </c>
      <c r="Z691">
        <v>10396.25</v>
      </c>
      <c r="AB691">
        <v>10398.09</v>
      </c>
      <c r="AD691">
        <v>10398.34</v>
      </c>
      <c r="AF691" t="s">
        <v>182</v>
      </c>
      <c r="AG691" t="s">
        <v>185</v>
      </c>
      <c r="AI691" t="s">
        <v>186</v>
      </c>
      <c r="AJ691" t="s">
        <v>2241</v>
      </c>
      <c r="AK691" t="s">
        <v>188</v>
      </c>
    </row>
    <row r="692" spans="1:37" x14ac:dyDescent="0.3">
      <c r="A692">
        <v>8008</v>
      </c>
      <c r="B692" s="207">
        <v>46121</v>
      </c>
      <c r="C692" t="s">
        <v>438</v>
      </c>
      <c r="D692" t="s">
        <v>2242</v>
      </c>
      <c r="E692" t="s">
        <v>2243</v>
      </c>
      <c r="F692" s="207">
        <v>46630</v>
      </c>
      <c r="G692">
        <v>1.05</v>
      </c>
      <c r="H692">
        <v>5</v>
      </c>
      <c r="I692">
        <v>4850</v>
      </c>
      <c r="J692">
        <v>3.1349999999999998</v>
      </c>
      <c r="K692">
        <v>10091</v>
      </c>
      <c r="L692">
        <v>5045</v>
      </c>
      <c r="M692">
        <v>3</v>
      </c>
      <c r="N692">
        <v>192</v>
      </c>
      <c r="O692">
        <v>15</v>
      </c>
      <c r="P692">
        <v>0</v>
      </c>
      <c r="Q692">
        <v>177</v>
      </c>
      <c r="S692">
        <v>0</v>
      </c>
      <c r="T692">
        <v>0</v>
      </c>
      <c r="U692">
        <v>0</v>
      </c>
      <c r="V692">
        <v>1.3927</v>
      </c>
      <c r="W692">
        <v>1.3527333333</v>
      </c>
      <c r="X692">
        <v>3.0663666666</v>
      </c>
      <c r="Z692">
        <v>10090.549999999999</v>
      </c>
      <c r="AB692">
        <v>10093.290000000001</v>
      </c>
      <c r="AD692">
        <v>10091.64</v>
      </c>
      <c r="AF692" t="s">
        <v>182</v>
      </c>
      <c r="AG692" t="s">
        <v>185</v>
      </c>
      <c r="AI692" t="s">
        <v>186</v>
      </c>
      <c r="AJ692" t="s">
        <v>2244</v>
      </c>
      <c r="AK692" t="s">
        <v>188</v>
      </c>
    </row>
    <row r="693" spans="1:37" x14ac:dyDescent="0.3">
      <c r="A693">
        <v>8008</v>
      </c>
      <c r="B693" s="207">
        <v>46121</v>
      </c>
      <c r="C693" t="s">
        <v>438</v>
      </c>
      <c r="D693" t="s">
        <v>2245</v>
      </c>
      <c r="E693" t="s">
        <v>2246</v>
      </c>
      <c r="F693" s="207">
        <v>46691</v>
      </c>
      <c r="G693">
        <v>1.05</v>
      </c>
      <c r="H693">
        <v>5</v>
      </c>
      <c r="I693">
        <v>4832</v>
      </c>
      <c r="J693">
        <v>3.1850000000000001</v>
      </c>
      <c r="K693">
        <v>10032</v>
      </c>
      <c r="L693">
        <v>5016</v>
      </c>
      <c r="M693">
        <v>2</v>
      </c>
      <c r="N693">
        <v>182</v>
      </c>
      <c r="O693">
        <v>14</v>
      </c>
      <c r="P693">
        <v>0</v>
      </c>
      <c r="Q693">
        <v>168</v>
      </c>
      <c r="S693">
        <v>0</v>
      </c>
      <c r="T693">
        <v>0</v>
      </c>
      <c r="U693">
        <v>0</v>
      </c>
      <c r="V693">
        <v>1.5598000000000001</v>
      </c>
      <c r="W693">
        <v>1.5141333333</v>
      </c>
      <c r="X693">
        <v>3.6831666666</v>
      </c>
      <c r="Z693">
        <v>10030.370000000001</v>
      </c>
      <c r="AB693">
        <v>10034.459999999999</v>
      </c>
      <c r="AD693">
        <v>10031.74</v>
      </c>
      <c r="AF693" t="s">
        <v>182</v>
      </c>
      <c r="AG693" t="s">
        <v>185</v>
      </c>
      <c r="AI693" t="s">
        <v>186</v>
      </c>
      <c r="AJ693" t="s">
        <v>2247</v>
      </c>
      <c r="AK693" t="s">
        <v>188</v>
      </c>
    </row>
    <row r="694" spans="1:37" x14ac:dyDescent="0.3">
      <c r="A694">
        <v>8008</v>
      </c>
      <c r="B694" s="207">
        <v>46121</v>
      </c>
      <c r="C694" t="s">
        <v>438</v>
      </c>
      <c r="D694" t="s">
        <v>2248</v>
      </c>
      <c r="E694" t="s">
        <v>2249</v>
      </c>
      <c r="F694" s="207">
        <v>46812</v>
      </c>
      <c r="G694">
        <v>2.5</v>
      </c>
      <c r="H694">
        <v>20000</v>
      </c>
      <c r="I694">
        <v>19788532</v>
      </c>
      <c r="J694">
        <v>3.2709999999999999</v>
      </c>
      <c r="K694">
        <v>10646</v>
      </c>
      <c r="L694">
        <v>21292000</v>
      </c>
      <c r="M694">
        <v>-94166</v>
      </c>
      <c r="N694">
        <v>1597634</v>
      </c>
      <c r="O694">
        <v>144166</v>
      </c>
      <c r="P694">
        <v>39150</v>
      </c>
      <c r="Q694">
        <v>1414318</v>
      </c>
      <c r="S694">
        <v>0</v>
      </c>
      <c r="T694">
        <v>25660</v>
      </c>
      <c r="U694">
        <v>2560</v>
      </c>
      <c r="V694">
        <v>1.8895</v>
      </c>
      <c r="W694">
        <v>1.8297666666000001</v>
      </c>
      <c r="X694">
        <v>5.0894666665999999</v>
      </c>
      <c r="Z694">
        <v>10643</v>
      </c>
      <c r="AB694">
        <v>10650.68</v>
      </c>
      <c r="AD694">
        <v>10645.73</v>
      </c>
      <c r="AF694" t="s">
        <v>182</v>
      </c>
      <c r="AG694" t="s">
        <v>185</v>
      </c>
      <c r="AI694" t="s">
        <v>186</v>
      </c>
      <c r="AJ694" t="s">
        <v>2250</v>
      </c>
      <c r="AK694" t="s">
        <v>188</v>
      </c>
    </row>
    <row r="695" spans="1:37" x14ac:dyDescent="0.3">
      <c r="A695">
        <v>8008</v>
      </c>
      <c r="B695" s="207">
        <v>46121</v>
      </c>
      <c r="C695" t="s">
        <v>438</v>
      </c>
      <c r="D695" t="s">
        <v>2251</v>
      </c>
      <c r="E695" t="s">
        <v>2252</v>
      </c>
      <c r="F695" s="207">
        <v>46843</v>
      </c>
      <c r="G695">
        <v>2.5</v>
      </c>
      <c r="H695">
        <v>58657</v>
      </c>
      <c r="I695">
        <v>57223952</v>
      </c>
      <c r="J695">
        <v>3.29</v>
      </c>
      <c r="K695">
        <v>10613</v>
      </c>
      <c r="L695">
        <v>62252673</v>
      </c>
      <c r="M695">
        <v>475804</v>
      </c>
      <c r="N695">
        <v>4552917</v>
      </c>
      <c r="O695">
        <v>302839</v>
      </c>
      <c r="P695">
        <v>1163012</v>
      </c>
      <c r="Q695">
        <v>3087066</v>
      </c>
      <c r="S695">
        <v>0</v>
      </c>
      <c r="T695">
        <v>205200</v>
      </c>
      <c r="U695">
        <v>20490</v>
      </c>
      <c r="V695">
        <v>1.9743999999999999</v>
      </c>
      <c r="W695">
        <v>1.9109</v>
      </c>
      <c r="X695">
        <v>5.4935999999999998</v>
      </c>
      <c r="Z695">
        <v>10611.35</v>
      </c>
      <c r="AB695">
        <v>10617.92</v>
      </c>
      <c r="AD695">
        <v>10612.57</v>
      </c>
      <c r="AF695" t="s">
        <v>182</v>
      </c>
      <c r="AG695" t="s">
        <v>185</v>
      </c>
      <c r="AI695" t="s">
        <v>186</v>
      </c>
      <c r="AJ695" t="s">
        <v>2253</v>
      </c>
      <c r="AK695" t="s">
        <v>188</v>
      </c>
    </row>
    <row r="696" spans="1:37" x14ac:dyDescent="0.3">
      <c r="A696">
        <v>8008</v>
      </c>
      <c r="B696" s="207">
        <v>46121</v>
      </c>
      <c r="C696" t="s">
        <v>438</v>
      </c>
      <c r="D696" t="s">
        <v>2254</v>
      </c>
      <c r="E696" t="s">
        <v>2255</v>
      </c>
      <c r="F696" s="207">
        <v>47057</v>
      </c>
      <c r="G696">
        <v>2.5</v>
      </c>
      <c r="H696">
        <v>93700</v>
      </c>
      <c r="I696">
        <v>91962714</v>
      </c>
      <c r="J696">
        <v>3.3929999999999998</v>
      </c>
      <c r="K696">
        <v>10386</v>
      </c>
      <c r="L696">
        <v>97316817</v>
      </c>
      <c r="M696">
        <v>-467545</v>
      </c>
      <c r="N696">
        <v>5821648</v>
      </c>
      <c r="O696">
        <v>664313</v>
      </c>
      <c r="P696">
        <v>4085863</v>
      </c>
      <c r="Q696">
        <v>1071472</v>
      </c>
      <c r="S696">
        <v>0</v>
      </c>
      <c r="T696">
        <v>664990</v>
      </c>
      <c r="U696">
        <v>66460</v>
      </c>
      <c r="V696">
        <v>2.5607000000000002</v>
      </c>
      <c r="W696">
        <v>2.4784666666000001</v>
      </c>
      <c r="X696">
        <v>8.4631333333000001</v>
      </c>
      <c r="Z696">
        <v>10385.35</v>
      </c>
      <c r="AB696">
        <v>10390.07</v>
      </c>
      <c r="AD696">
        <v>10384.06</v>
      </c>
      <c r="AF696" t="s">
        <v>182</v>
      </c>
      <c r="AG696" t="s">
        <v>185</v>
      </c>
      <c r="AI696" t="s">
        <v>186</v>
      </c>
      <c r="AJ696" t="s">
        <v>2256</v>
      </c>
      <c r="AK696" t="s">
        <v>188</v>
      </c>
    </row>
    <row r="697" spans="1:37" x14ac:dyDescent="0.3">
      <c r="A697">
        <v>8008</v>
      </c>
      <c r="B697" s="207">
        <v>46121</v>
      </c>
      <c r="C697" t="s">
        <v>438</v>
      </c>
      <c r="D697" t="s">
        <v>2257</v>
      </c>
      <c r="E697" t="s">
        <v>2258</v>
      </c>
      <c r="F697" s="207">
        <v>47514</v>
      </c>
      <c r="G697">
        <v>2.5</v>
      </c>
      <c r="H697">
        <v>20352</v>
      </c>
      <c r="I697">
        <v>19700292</v>
      </c>
      <c r="J697">
        <v>3.5739999999999998</v>
      </c>
      <c r="K697">
        <v>9895</v>
      </c>
      <c r="L697">
        <v>20138303</v>
      </c>
      <c r="M697">
        <v>-168391</v>
      </c>
      <c r="N697">
        <v>606402</v>
      </c>
      <c r="O697">
        <v>139898</v>
      </c>
      <c r="P697">
        <v>336401</v>
      </c>
      <c r="Q697">
        <v>130103</v>
      </c>
      <c r="S697">
        <v>0</v>
      </c>
      <c r="T697">
        <v>66660</v>
      </c>
      <c r="U697">
        <v>6650</v>
      </c>
      <c r="V697">
        <v>3.8128000000000002</v>
      </c>
      <c r="W697">
        <v>3.6819999999999999</v>
      </c>
      <c r="X697">
        <v>17.0657</v>
      </c>
      <c r="Z697">
        <v>9889.7000000000007</v>
      </c>
      <c r="AB697">
        <v>9902.9</v>
      </c>
      <c r="AD697">
        <v>9894.7999999999993</v>
      </c>
      <c r="AF697" t="s">
        <v>182</v>
      </c>
      <c r="AG697" t="s">
        <v>185</v>
      </c>
      <c r="AI697" t="s">
        <v>186</v>
      </c>
      <c r="AJ697" t="s">
        <v>2259</v>
      </c>
      <c r="AK697" t="s">
        <v>188</v>
      </c>
    </row>
    <row r="698" spans="1:37" x14ac:dyDescent="0.3">
      <c r="A698">
        <v>8008</v>
      </c>
      <c r="B698" s="207">
        <v>46121</v>
      </c>
      <c r="C698" t="s">
        <v>438</v>
      </c>
      <c r="D698" t="s">
        <v>2260</v>
      </c>
      <c r="E698" t="s">
        <v>2261</v>
      </c>
      <c r="F698" s="207">
        <v>47542</v>
      </c>
      <c r="G698">
        <v>2.5</v>
      </c>
      <c r="H698">
        <v>7069</v>
      </c>
      <c r="I698">
        <v>6834410</v>
      </c>
      <c r="J698">
        <v>3.577</v>
      </c>
      <c r="K698">
        <v>9868</v>
      </c>
      <c r="L698">
        <v>6975688</v>
      </c>
      <c r="M698">
        <v>-55571</v>
      </c>
      <c r="N698">
        <v>196849</v>
      </c>
      <c r="O698">
        <v>48502</v>
      </c>
      <c r="P698">
        <v>85074</v>
      </c>
      <c r="Q698">
        <v>63273</v>
      </c>
      <c r="S698">
        <v>0</v>
      </c>
      <c r="T698">
        <v>18680</v>
      </c>
      <c r="U698">
        <v>1830</v>
      </c>
      <c r="V698">
        <v>3.8895</v>
      </c>
      <c r="W698">
        <v>3.7553666666000001</v>
      </c>
      <c r="X698">
        <v>17.698599999999999</v>
      </c>
      <c r="Z698">
        <v>9861.08</v>
      </c>
      <c r="AB698">
        <v>9876.7199999999993</v>
      </c>
      <c r="AD698">
        <v>9867.75</v>
      </c>
      <c r="AF698" t="s">
        <v>182</v>
      </c>
      <c r="AG698" t="s">
        <v>185</v>
      </c>
      <c r="AI698" t="s">
        <v>186</v>
      </c>
      <c r="AJ698" t="s">
        <v>2262</v>
      </c>
      <c r="AK698" t="s">
        <v>188</v>
      </c>
    </row>
    <row r="699" spans="1:37" x14ac:dyDescent="0.3">
      <c r="A699">
        <v>8008</v>
      </c>
      <c r="B699" s="207">
        <v>46121</v>
      </c>
      <c r="C699" t="s">
        <v>438</v>
      </c>
      <c r="D699" t="s">
        <v>2263</v>
      </c>
      <c r="E699" t="s">
        <v>2264</v>
      </c>
      <c r="F699" s="207">
        <v>46326</v>
      </c>
      <c r="G699">
        <v>1.05</v>
      </c>
      <c r="H699">
        <v>3168</v>
      </c>
      <c r="I699">
        <v>3125178</v>
      </c>
      <c r="J699">
        <v>2.835</v>
      </c>
      <c r="K699">
        <v>10371</v>
      </c>
      <c r="L699">
        <v>3285531</v>
      </c>
      <c r="M699">
        <v>9935</v>
      </c>
      <c r="N699">
        <v>150418</v>
      </c>
      <c r="O699">
        <v>9388</v>
      </c>
      <c r="P699">
        <v>106028</v>
      </c>
      <c r="Q699">
        <v>35002</v>
      </c>
      <c r="S699">
        <v>0</v>
      </c>
      <c r="T699">
        <v>16140</v>
      </c>
      <c r="U699">
        <v>1590</v>
      </c>
      <c r="V699">
        <v>0.55979999999999996</v>
      </c>
      <c r="W699">
        <v>0.54663333329999997</v>
      </c>
      <c r="X699">
        <v>0.75286666660000001</v>
      </c>
      <c r="Z699">
        <v>10370.69</v>
      </c>
      <c r="AB699">
        <v>10372.08</v>
      </c>
      <c r="AD699">
        <v>10372.34</v>
      </c>
      <c r="AF699" t="s">
        <v>182</v>
      </c>
      <c r="AG699" t="s">
        <v>185</v>
      </c>
      <c r="AI699" t="s">
        <v>186</v>
      </c>
      <c r="AJ699" t="s">
        <v>2265</v>
      </c>
      <c r="AK699" t="s">
        <v>188</v>
      </c>
    </row>
    <row r="700" spans="1:37" x14ac:dyDescent="0.3">
      <c r="A700">
        <v>8008</v>
      </c>
      <c r="B700" s="207">
        <v>46121</v>
      </c>
      <c r="C700" t="s">
        <v>438</v>
      </c>
      <c r="D700" t="s">
        <v>2266</v>
      </c>
      <c r="E700" t="s">
        <v>2267</v>
      </c>
      <c r="F700" s="207">
        <v>46356</v>
      </c>
      <c r="G700">
        <v>1.05</v>
      </c>
      <c r="H700">
        <v>16969</v>
      </c>
      <c r="I700">
        <v>16714104</v>
      </c>
      <c r="J700">
        <v>2.8540000000000001</v>
      </c>
      <c r="K700">
        <v>10346</v>
      </c>
      <c r="L700">
        <v>17556127</v>
      </c>
      <c r="M700">
        <v>51569</v>
      </c>
      <c r="N700">
        <v>790454</v>
      </c>
      <c r="O700">
        <v>50245</v>
      </c>
      <c r="P700">
        <v>556909</v>
      </c>
      <c r="Q700">
        <v>183300</v>
      </c>
      <c r="S700">
        <v>0</v>
      </c>
      <c r="T700">
        <v>84980</v>
      </c>
      <c r="U700">
        <v>8480</v>
      </c>
      <c r="V700">
        <v>0.64200000000000002</v>
      </c>
      <c r="W700">
        <v>0.62626666659999997</v>
      </c>
      <c r="X700">
        <v>0.92920000000000003</v>
      </c>
      <c r="Z700">
        <v>10346.290000000001</v>
      </c>
      <c r="AB700">
        <v>10347.15</v>
      </c>
      <c r="AD700">
        <v>10346.75</v>
      </c>
      <c r="AF700" t="s">
        <v>182</v>
      </c>
      <c r="AG700" t="s">
        <v>185</v>
      </c>
      <c r="AI700" t="s">
        <v>186</v>
      </c>
      <c r="AJ700" t="s">
        <v>2268</v>
      </c>
      <c r="AK700" t="s">
        <v>188</v>
      </c>
    </row>
    <row r="701" spans="1:37" x14ac:dyDescent="0.3">
      <c r="A701">
        <v>8008</v>
      </c>
      <c r="B701" s="207">
        <v>46121</v>
      </c>
      <c r="C701" t="s">
        <v>438</v>
      </c>
      <c r="D701" t="s">
        <v>2269</v>
      </c>
      <c r="E701" t="s">
        <v>2270</v>
      </c>
      <c r="F701" s="207">
        <v>46387</v>
      </c>
      <c r="G701">
        <v>1.05</v>
      </c>
      <c r="H701">
        <v>19811</v>
      </c>
      <c r="I701">
        <v>19484199</v>
      </c>
      <c r="J701">
        <v>2.879</v>
      </c>
      <c r="K701">
        <v>10320</v>
      </c>
      <c r="L701">
        <v>20444952</v>
      </c>
      <c r="M701">
        <v>56298</v>
      </c>
      <c r="N701">
        <v>904455</v>
      </c>
      <c r="O701">
        <v>58606</v>
      </c>
      <c r="P701">
        <v>38828</v>
      </c>
      <c r="Q701">
        <v>807021</v>
      </c>
      <c r="S701">
        <v>0</v>
      </c>
      <c r="T701">
        <v>13630</v>
      </c>
      <c r="U701">
        <v>1350</v>
      </c>
      <c r="V701">
        <v>0.72693333329999998</v>
      </c>
      <c r="W701">
        <v>0.70840000000000003</v>
      </c>
      <c r="X701">
        <v>1.1285666666</v>
      </c>
      <c r="Z701">
        <v>10319.76</v>
      </c>
      <c r="AB701">
        <v>10321.15</v>
      </c>
      <c r="AD701">
        <v>10319.91</v>
      </c>
      <c r="AF701" t="s">
        <v>182</v>
      </c>
      <c r="AG701" t="s">
        <v>185</v>
      </c>
      <c r="AI701" t="s">
        <v>186</v>
      </c>
      <c r="AJ701" t="s">
        <v>2271</v>
      </c>
      <c r="AK701" t="s">
        <v>188</v>
      </c>
    </row>
    <row r="702" spans="1:37" x14ac:dyDescent="0.3">
      <c r="A702">
        <v>8008</v>
      </c>
      <c r="B702" s="207">
        <v>46121</v>
      </c>
      <c r="C702" t="s">
        <v>438</v>
      </c>
      <c r="D702" t="s">
        <v>2272</v>
      </c>
      <c r="E702" t="s">
        <v>2273</v>
      </c>
      <c r="F702" s="207">
        <v>46446</v>
      </c>
      <c r="G702">
        <v>1.05</v>
      </c>
      <c r="H702">
        <v>5531</v>
      </c>
      <c r="I702">
        <v>5421836</v>
      </c>
      <c r="J702">
        <v>2.9510000000000001</v>
      </c>
      <c r="K702">
        <v>10267</v>
      </c>
      <c r="L702">
        <v>5678677</v>
      </c>
      <c r="M702">
        <v>14086</v>
      </c>
      <c r="N702">
        <v>242755</v>
      </c>
      <c r="O702">
        <v>16334</v>
      </c>
      <c r="P702">
        <v>95436</v>
      </c>
      <c r="Q702">
        <v>130985</v>
      </c>
      <c r="S702">
        <v>0</v>
      </c>
      <c r="T702">
        <v>15630</v>
      </c>
      <c r="U702">
        <v>1550</v>
      </c>
      <c r="V702">
        <v>0.88859999999999995</v>
      </c>
      <c r="W702">
        <v>0.86403333329999998</v>
      </c>
      <c r="X702">
        <v>1.5551999999999999</v>
      </c>
      <c r="Z702">
        <v>10266.959999999999</v>
      </c>
      <c r="AB702">
        <v>10267.450000000001</v>
      </c>
      <c r="AD702">
        <v>10266.780000000001</v>
      </c>
      <c r="AF702" t="s">
        <v>182</v>
      </c>
      <c r="AG702" t="s">
        <v>185</v>
      </c>
      <c r="AI702" t="s">
        <v>186</v>
      </c>
      <c r="AJ702" t="s">
        <v>2274</v>
      </c>
      <c r="AK702" t="s">
        <v>188</v>
      </c>
    </row>
    <row r="703" spans="1:37" x14ac:dyDescent="0.3">
      <c r="A703">
        <v>8008</v>
      </c>
      <c r="B703" s="207">
        <v>46121</v>
      </c>
      <c r="C703" t="s">
        <v>438</v>
      </c>
      <c r="D703" t="s">
        <v>2275</v>
      </c>
      <c r="E703" t="s">
        <v>2276</v>
      </c>
      <c r="F703" s="207">
        <v>46477</v>
      </c>
      <c r="G703">
        <v>1.05</v>
      </c>
      <c r="H703">
        <v>87591</v>
      </c>
      <c r="I703">
        <v>85715334</v>
      </c>
      <c r="J703">
        <v>2.9889999999999999</v>
      </c>
      <c r="K703">
        <v>10238</v>
      </c>
      <c r="L703">
        <v>89675665</v>
      </c>
      <c r="M703">
        <v>197024</v>
      </c>
      <c r="N703">
        <v>3763307</v>
      </c>
      <c r="O703">
        <v>258449</v>
      </c>
      <c r="P703">
        <v>2702213</v>
      </c>
      <c r="Q703">
        <v>802645</v>
      </c>
      <c r="S703">
        <v>0</v>
      </c>
      <c r="T703">
        <v>414480</v>
      </c>
      <c r="U703">
        <v>41420</v>
      </c>
      <c r="V703">
        <v>0.97350000000000003</v>
      </c>
      <c r="W703">
        <v>0.94550000000000001</v>
      </c>
      <c r="X703">
        <v>1.8039000000000001</v>
      </c>
      <c r="Z703">
        <v>10239.23</v>
      </c>
      <c r="AB703">
        <v>10237.719999999999</v>
      </c>
      <c r="AD703">
        <v>10238.06</v>
      </c>
      <c r="AF703" t="s">
        <v>182</v>
      </c>
      <c r="AG703" t="s">
        <v>185</v>
      </c>
      <c r="AI703" t="s">
        <v>186</v>
      </c>
      <c r="AJ703" t="s">
        <v>2277</v>
      </c>
      <c r="AK703" t="s">
        <v>188</v>
      </c>
    </row>
    <row r="704" spans="1:37" x14ac:dyDescent="0.3">
      <c r="A704">
        <v>8008</v>
      </c>
      <c r="B704" s="207">
        <v>46121</v>
      </c>
      <c r="C704" t="s">
        <v>438</v>
      </c>
      <c r="D704" t="s">
        <v>2278</v>
      </c>
      <c r="E704" t="s">
        <v>2279</v>
      </c>
      <c r="F704" s="207">
        <v>46538</v>
      </c>
      <c r="G704">
        <v>1.05</v>
      </c>
      <c r="H704">
        <v>41871</v>
      </c>
      <c r="I704">
        <v>40828412</v>
      </c>
      <c r="J704">
        <v>3.0489999999999999</v>
      </c>
      <c r="K704">
        <v>10180</v>
      </c>
      <c r="L704">
        <v>42624678</v>
      </c>
      <c r="M704">
        <v>73463</v>
      </c>
      <c r="N704">
        <v>1722803</v>
      </c>
      <c r="O704">
        <v>123331</v>
      </c>
      <c r="P704">
        <v>800586</v>
      </c>
      <c r="Q704">
        <v>798886</v>
      </c>
      <c r="S704">
        <v>0</v>
      </c>
      <c r="T704">
        <v>129330</v>
      </c>
      <c r="U704">
        <v>12920</v>
      </c>
      <c r="V704">
        <v>1.1406333333000001</v>
      </c>
      <c r="W704">
        <v>1.1080666666000001</v>
      </c>
      <c r="X704">
        <v>2.2645333333000002</v>
      </c>
      <c r="Z704">
        <v>10181.450000000001</v>
      </c>
      <c r="AB704">
        <v>10180.68</v>
      </c>
      <c r="AD704">
        <v>10180.66</v>
      </c>
      <c r="AF704" t="s">
        <v>182</v>
      </c>
      <c r="AG704" t="s">
        <v>185</v>
      </c>
      <c r="AI704" t="s">
        <v>186</v>
      </c>
      <c r="AJ704" t="s">
        <v>2280</v>
      </c>
      <c r="AK704" t="s">
        <v>188</v>
      </c>
    </row>
    <row r="705" spans="1:37" x14ac:dyDescent="0.3">
      <c r="A705">
        <v>8008</v>
      </c>
      <c r="B705" s="207">
        <v>46121</v>
      </c>
      <c r="C705" t="s">
        <v>438</v>
      </c>
      <c r="D705" t="s">
        <v>2281</v>
      </c>
      <c r="E705" t="s">
        <v>2282</v>
      </c>
      <c r="F705" s="207">
        <v>46752</v>
      </c>
      <c r="G705">
        <v>1.05</v>
      </c>
      <c r="H705">
        <v>21020</v>
      </c>
      <c r="I705">
        <v>20192418</v>
      </c>
      <c r="J705">
        <v>3.2290000000000001</v>
      </c>
      <c r="K705">
        <v>9972</v>
      </c>
      <c r="L705">
        <v>20961144</v>
      </c>
      <c r="M705">
        <v>37464</v>
      </c>
      <c r="N705">
        <v>731262</v>
      </c>
      <c r="O705">
        <v>59456</v>
      </c>
      <c r="P705">
        <v>3543</v>
      </c>
      <c r="Q705">
        <v>668263</v>
      </c>
      <c r="S705">
        <v>0</v>
      </c>
      <c r="T705">
        <v>8810</v>
      </c>
      <c r="U705">
        <v>870</v>
      </c>
      <c r="V705">
        <v>1.7269333333000001</v>
      </c>
      <c r="W705">
        <v>1.6749333333</v>
      </c>
      <c r="X705">
        <v>4.3666333333000003</v>
      </c>
      <c r="Z705">
        <v>9970.1299999999992</v>
      </c>
      <c r="AB705">
        <v>9975.7800000000007</v>
      </c>
      <c r="AD705">
        <v>9972.1299999999992</v>
      </c>
      <c r="AF705" t="s">
        <v>182</v>
      </c>
      <c r="AG705" t="s">
        <v>185</v>
      </c>
      <c r="AI705" t="s">
        <v>186</v>
      </c>
      <c r="AJ705" t="s">
        <v>2283</v>
      </c>
      <c r="AK705" t="s">
        <v>188</v>
      </c>
    </row>
    <row r="706" spans="1:37" x14ac:dyDescent="0.3">
      <c r="A706">
        <v>8008</v>
      </c>
      <c r="B706" s="207">
        <v>46121</v>
      </c>
      <c r="C706" t="s">
        <v>438</v>
      </c>
      <c r="D706" t="s">
        <v>2284</v>
      </c>
      <c r="E706" t="s">
        <v>2285</v>
      </c>
      <c r="F706" s="207">
        <v>46783</v>
      </c>
      <c r="G706">
        <v>2.5</v>
      </c>
      <c r="H706">
        <v>3865</v>
      </c>
      <c r="I706">
        <v>3827482</v>
      </c>
      <c r="J706">
        <v>3.25</v>
      </c>
      <c r="K706">
        <v>10676</v>
      </c>
      <c r="L706">
        <v>4126274</v>
      </c>
      <c r="M706">
        <v>-17864</v>
      </c>
      <c r="N706">
        <v>316656</v>
      </c>
      <c r="O706">
        <v>27913</v>
      </c>
      <c r="P706">
        <v>1686</v>
      </c>
      <c r="Q706">
        <v>287057</v>
      </c>
      <c r="S706">
        <v>0</v>
      </c>
      <c r="T706">
        <v>4140</v>
      </c>
      <c r="U706">
        <v>410</v>
      </c>
      <c r="V706">
        <v>1.8119000000000001</v>
      </c>
      <c r="W706">
        <v>1.7564333333</v>
      </c>
      <c r="X706">
        <v>4.7390333333000001</v>
      </c>
      <c r="Z706">
        <v>10673.66</v>
      </c>
      <c r="AB706">
        <v>10680.12</v>
      </c>
      <c r="AD706">
        <v>10675.72</v>
      </c>
      <c r="AF706" t="s">
        <v>182</v>
      </c>
      <c r="AG706" t="s">
        <v>185</v>
      </c>
      <c r="AI706" t="s">
        <v>186</v>
      </c>
      <c r="AJ706" t="s">
        <v>2286</v>
      </c>
      <c r="AK706" t="s">
        <v>188</v>
      </c>
    </row>
    <row r="707" spans="1:37" x14ac:dyDescent="0.3">
      <c r="A707">
        <v>8008</v>
      </c>
      <c r="B707" s="207">
        <v>46121</v>
      </c>
      <c r="C707" t="s">
        <v>438</v>
      </c>
      <c r="D707" t="s">
        <v>2287</v>
      </c>
      <c r="E707" t="s">
        <v>2288</v>
      </c>
      <c r="F707" s="207">
        <v>46873</v>
      </c>
      <c r="G707">
        <v>2.5</v>
      </c>
      <c r="H707">
        <v>2053</v>
      </c>
      <c r="I707">
        <v>2027223</v>
      </c>
      <c r="J707">
        <v>3.3050000000000002</v>
      </c>
      <c r="K707">
        <v>10582</v>
      </c>
      <c r="L707">
        <v>2172484</v>
      </c>
      <c r="M707">
        <v>-9605</v>
      </c>
      <c r="N707">
        <v>154866</v>
      </c>
      <c r="O707">
        <v>14737</v>
      </c>
      <c r="P707">
        <v>19431</v>
      </c>
      <c r="Q707">
        <v>120698</v>
      </c>
      <c r="S707">
        <v>0</v>
      </c>
      <c r="T707">
        <v>4780</v>
      </c>
      <c r="U707">
        <v>470</v>
      </c>
      <c r="V707">
        <v>2.0566</v>
      </c>
      <c r="W707">
        <v>1.9904999999999999</v>
      </c>
      <c r="X707">
        <v>5.8721666666000001</v>
      </c>
      <c r="Z707">
        <v>10579.74</v>
      </c>
      <c r="AB707">
        <v>10586.56</v>
      </c>
      <c r="AD707">
        <v>10581.01</v>
      </c>
      <c r="AF707" t="s">
        <v>182</v>
      </c>
      <c r="AG707" t="s">
        <v>185</v>
      </c>
      <c r="AI707" t="s">
        <v>186</v>
      </c>
      <c r="AJ707" t="s">
        <v>2289</v>
      </c>
      <c r="AK707" t="s">
        <v>188</v>
      </c>
    </row>
    <row r="708" spans="1:37" x14ac:dyDescent="0.3">
      <c r="A708">
        <v>8008</v>
      </c>
      <c r="B708" s="207">
        <v>46121</v>
      </c>
      <c r="C708" t="s">
        <v>438</v>
      </c>
      <c r="D708" t="s">
        <v>2290</v>
      </c>
      <c r="E708" t="s">
        <v>2291</v>
      </c>
      <c r="F708" s="207">
        <v>46904</v>
      </c>
      <c r="G708">
        <v>2.5</v>
      </c>
      <c r="H708">
        <v>10003</v>
      </c>
      <c r="I708">
        <v>9803297</v>
      </c>
      <c r="J708">
        <v>3.3180000000000001</v>
      </c>
      <c r="K708">
        <v>10550</v>
      </c>
      <c r="L708">
        <v>10553165</v>
      </c>
      <c r="M708">
        <v>17838</v>
      </c>
      <c r="N708">
        <v>732030</v>
      </c>
      <c r="O708">
        <v>54996</v>
      </c>
      <c r="P708">
        <v>310724</v>
      </c>
      <c r="Q708">
        <v>366310</v>
      </c>
      <c r="S708">
        <v>0</v>
      </c>
      <c r="T708">
        <v>51170</v>
      </c>
      <c r="U708">
        <v>5100</v>
      </c>
      <c r="V708">
        <v>2.1415666666000002</v>
      </c>
      <c r="W708">
        <v>2.0731666666000002</v>
      </c>
      <c r="X708">
        <v>6.2661666666000002</v>
      </c>
      <c r="Z708">
        <v>10547.66</v>
      </c>
      <c r="AB708">
        <v>10554.08</v>
      </c>
      <c r="AD708">
        <v>10548.53</v>
      </c>
      <c r="AF708" t="s">
        <v>182</v>
      </c>
      <c r="AG708" t="s">
        <v>185</v>
      </c>
      <c r="AI708" t="s">
        <v>186</v>
      </c>
      <c r="AJ708" t="s">
        <v>2292</v>
      </c>
      <c r="AK708" t="s">
        <v>188</v>
      </c>
    </row>
    <row r="709" spans="1:37" x14ac:dyDescent="0.3">
      <c r="A709">
        <v>8008</v>
      </c>
      <c r="B709" s="207">
        <v>46121</v>
      </c>
      <c r="C709" t="s">
        <v>438</v>
      </c>
      <c r="D709" t="s">
        <v>2293</v>
      </c>
      <c r="E709" t="s">
        <v>2294</v>
      </c>
      <c r="F709" s="207">
        <v>46934</v>
      </c>
      <c r="G709">
        <v>2.5</v>
      </c>
      <c r="H709">
        <v>17448</v>
      </c>
      <c r="I709">
        <v>17194017</v>
      </c>
      <c r="J709">
        <v>3.3290000000000002</v>
      </c>
      <c r="K709">
        <v>10518</v>
      </c>
      <c r="L709">
        <v>18351806</v>
      </c>
      <c r="M709">
        <v>-81116</v>
      </c>
      <c r="N709">
        <v>1238905</v>
      </c>
      <c r="O709">
        <v>124736</v>
      </c>
      <c r="P709">
        <v>1008892</v>
      </c>
      <c r="Q709">
        <v>105277</v>
      </c>
      <c r="S709">
        <v>0</v>
      </c>
      <c r="T709">
        <v>158700</v>
      </c>
      <c r="U709">
        <v>15860</v>
      </c>
      <c r="V709">
        <v>2.2237666666</v>
      </c>
      <c r="W709">
        <v>2.1530333332999998</v>
      </c>
      <c r="X709">
        <v>6.6643333333000001</v>
      </c>
      <c r="Z709">
        <v>10516.97</v>
      </c>
      <c r="AB709">
        <v>10522.72</v>
      </c>
      <c r="AD709">
        <v>10516.97</v>
      </c>
      <c r="AF709" t="s">
        <v>182</v>
      </c>
      <c r="AG709" t="s">
        <v>185</v>
      </c>
      <c r="AI709" t="s">
        <v>186</v>
      </c>
      <c r="AJ709" t="s">
        <v>2295</v>
      </c>
      <c r="AK709" t="s">
        <v>188</v>
      </c>
    </row>
    <row r="710" spans="1:37" x14ac:dyDescent="0.3">
      <c r="A710">
        <v>8008</v>
      </c>
      <c r="B710" s="207">
        <v>46121</v>
      </c>
      <c r="C710" t="s">
        <v>438</v>
      </c>
      <c r="D710" t="s">
        <v>2296</v>
      </c>
      <c r="E710" t="s">
        <v>2297</v>
      </c>
      <c r="F710" s="207">
        <v>46965</v>
      </c>
      <c r="G710">
        <v>2.5</v>
      </c>
      <c r="H710">
        <v>90366</v>
      </c>
      <c r="I710">
        <v>88962810</v>
      </c>
      <c r="J710">
        <v>3.3410000000000002</v>
      </c>
      <c r="K710">
        <v>10486</v>
      </c>
      <c r="L710">
        <v>94757785</v>
      </c>
      <c r="M710">
        <v>-418762</v>
      </c>
      <c r="N710">
        <v>6213737</v>
      </c>
      <c r="O710">
        <v>644677</v>
      </c>
      <c r="P710">
        <v>2080827</v>
      </c>
      <c r="Q710">
        <v>3488233</v>
      </c>
      <c r="S710">
        <v>0</v>
      </c>
      <c r="T710">
        <v>381520</v>
      </c>
      <c r="U710">
        <v>38110</v>
      </c>
      <c r="V710">
        <v>2.3086666666000002</v>
      </c>
      <c r="W710">
        <v>2.2354333333</v>
      </c>
      <c r="X710">
        <v>7.0929333333000004</v>
      </c>
      <c r="Z710">
        <v>10485.34</v>
      </c>
      <c r="AB710">
        <v>10490.35</v>
      </c>
      <c r="AD710">
        <v>10484.4</v>
      </c>
      <c r="AF710" t="s">
        <v>182</v>
      </c>
      <c r="AG710" t="s">
        <v>185</v>
      </c>
      <c r="AI710" t="s">
        <v>186</v>
      </c>
      <c r="AJ710" t="s">
        <v>2298</v>
      </c>
      <c r="AK710" t="s">
        <v>188</v>
      </c>
    </row>
    <row r="711" spans="1:37" x14ac:dyDescent="0.3">
      <c r="A711">
        <v>8008</v>
      </c>
      <c r="B711" s="207">
        <v>46121</v>
      </c>
      <c r="C711" t="s">
        <v>438</v>
      </c>
      <c r="D711" t="s">
        <v>2299</v>
      </c>
      <c r="E711" t="s">
        <v>2300</v>
      </c>
      <c r="F711" s="207">
        <v>46996</v>
      </c>
      <c r="G711">
        <v>2.5</v>
      </c>
      <c r="H711">
        <v>175</v>
      </c>
      <c r="I711">
        <v>172112</v>
      </c>
      <c r="J711">
        <v>3.355</v>
      </c>
      <c r="K711">
        <v>10454</v>
      </c>
      <c r="L711">
        <v>182945</v>
      </c>
      <c r="M711">
        <v>-808</v>
      </c>
      <c r="N711">
        <v>11641</v>
      </c>
      <c r="O711">
        <v>1246</v>
      </c>
      <c r="P711">
        <v>75</v>
      </c>
      <c r="Q711">
        <v>10320</v>
      </c>
      <c r="S711">
        <v>0</v>
      </c>
      <c r="T711">
        <v>180</v>
      </c>
      <c r="U711">
        <v>10</v>
      </c>
      <c r="V711">
        <v>2.3936000000000002</v>
      </c>
      <c r="W711">
        <v>2.3175666665999999</v>
      </c>
      <c r="X711">
        <v>7.5385333333000002</v>
      </c>
      <c r="Z711">
        <v>10452.52</v>
      </c>
      <c r="AB711">
        <v>10457.700000000001</v>
      </c>
      <c r="AD711">
        <v>10451.799999999999</v>
      </c>
      <c r="AF711" t="s">
        <v>182</v>
      </c>
      <c r="AG711" t="s">
        <v>185</v>
      </c>
      <c r="AI711" t="s">
        <v>186</v>
      </c>
      <c r="AJ711" t="s">
        <v>2301</v>
      </c>
      <c r="AK711" t="s">
        <v>188</v>
      </c>
    </row>
    <row r="712" spans="1:37" x14ac:dyDescent="0.3">
      <c r="A712">
        <v>8008</v>
      </c>
      <c r="B712" s="207">
        <v>46121</v>
      </c>
      <c r="C712" t="s">
        <v>438</v>
      </c>
      <c r="D712" t="s">
        <v>2302</v>
      </c>
      <c r="E712" t="s">
        <v>2303</v>
      </c>
      <c r="F712" s="207">
        <v>47026</v>
      </c>
      <c r="G712">
        <v>2.5</v>
      </c>
      <c r="H712">
        <v>37615</v>
      </c>
      <c r="I712">
        <v>36909309</v>
      </c>
      <c r="J712">
        <v>3.3679999999999999</v>
      </c>
      <c r="K712">
        <v>10422</v>
      </c>
      <c r="L712">
        <v>39202352</v>
      </c>
      <c r="M712">
        <v>-127877</v>
      </c>
      <c r="N712">
        <v>2420920</v>
      </c>
      <c r="O712">
        <v>263935</v>
      </c>
      <c r="P712">
        <v>1085081</v>
      </c>
      <c r="Q712">
        <v>1071904</v>
      </c>
      <c r="S712">
        <v>0</v>
      </c>
      <c r="T712">
        <v>188840</v>
      </c>
      <c r="U712">
        <v>18860</v>
      </c>
      <c r="V712">
        <v>2.4758</v>
      </c>
      <c r="W712">
        <v>2.3969333332999998</v>
      </c>
      <c r="X712">
        <v>7.9860333333</v>
      </c>
      <c r="Z712">
        <v>10420.85</v>
      </c>
      <c r="AB712">
        <v>10426.18</v>
      </c>
      <c r="AD712">
        <v>10420.1</v>
      </c>
      <c r="AF712" t="s">
        <v>182</v>
      </c>
      <c r="AG712" t="s">
        <v>185</v>
      </c>
      <c r="AI712" t="s">
        <v>186</v>
      </c>
      <c r="AJ712" t="s">
        <v>2304</v>
      </c>
      <c r="AK712" t="s">
        <v>188</v>
      </c>
    </row>
    <row r="713" spans="1:37" x14ac:dyDescent="0.3">
      <c r="A713">
        <v>8008</v>
      </c>
      <c r="B713" s="207">
        <v>46121</v>
      </c>
      <c r="C713" t="s">
        <v>438</v>
      </c>
      <c r="D713" t="s">
        <v>2305</v>
      </c>
      <c r="E713" t="s">
        <v>2306</v>
      </c>
      <c r="F713" s="207">
        <v>47087</v>
      </c>
      <c r="G713">
        <v>2.5</v>
      </c>
      <c r="H713">
        <v>5594</v>
      </c>
      <c r="I713">
        <v>5484346</v>
      </c>
      <c r="J713">
        <v>3.4239999999999999</v>
      </c>
      <c r="K713">
        <v>10350</v>
      </c>
      <c r="L713">
        <v>5789790</v>
      </c>
      <c r="M713">
        <v>-30068</v>
      </c>
      <c r="N713">
        <v>335512</v>
      </c>
      <c r="O713">
        <v>39579</v>
      </c>
      <c r="P713">
        <v>4225</v>
      </c>
      <c r="Q713">
        <v>291708</v>
      </c>
      <c r="S713">
        <v>0</v>
      </c>
      <c r="T713">
        <v>6130</v>
      </c>
      <c r="U713">
        <v>610</v>
      </c>
      <c r="V713">
        <v>2.6429</v>
      </c>
      <c r="W713">
        <v>2.5570333333000002</v>
      </c>
      <c r="X713">
        <v>8.9396666666000009</v>
      </c>
      <c r="Z713">
        <v>10348.48</v>
      </c>
      <c r="AB713">
        <v>10353.59</v>
      </c>
      <c r="AD713">
        <v>10348.209999999999</v>
      </c>
      <c r="AF713" t="s">
        <v>182</v>
      </c>
      <c r="AG713" t="s">
        <v>185</v>
      </c>
      <c r="AI713" t="s">
        <v>186</v>
      </c>
      <c r="AJ713" t="s">
        <v>2307</v>
      </c>
      <c r="AK713" t="s">
        <v>188</v>
      </c>
    </row>
    <row r="714" spans="1:37" x14ac:dyDescent="0.3">
      <c r="A714">
        <v>8008</v>
      </c>
      <c r="B714" s="207">
        <v>46121</v>
      </c>
      <c r="C714" t="s">
        <v>438</v>
      </c>
      <c r="D714" t="s">
        <v>2308</v>
      </c>
      <c r="E714" t="s">
        <v>2309</v>
      </c>
      <c r="F714" s="207">
        <v>47118</v>
      </c>
      <c r="G714">
        <v>2.5</v>
      </c>
      <c r="H714">
        <v>244974</v>
      </c>
      <c r="I714">
        <v>239915027</v>
      </c>
      <c r="J714">
        <v>3.4550000000000001</v>
      </c>
      <c r="K714">
        <v>10312</v>
      </c>
      <c r="L714">
        <v>252617187</v>
      </c>
      <c r="M714">
        <v>-1446720</v>
      </c>
      <c r="N714">
        <v>14148880</v>
      </c>
      <c r="O714">
        <v>1728837</v>
      </c>
      <c r="P714">
        <v>3364733</v>
      </c>
      <c r="Q714">
        <v>9055310</v>
      </c>
      <c r="S714">
        <v>0</v>
      </c>
      <c r="T714">
        <v>713060</v>
      </c>
      <c r="U714">
        <v>71270</v>
      </c>
      <c r="V714">
        <v>2.7278666666000002</v>
      </c>
      <c r="W714">
        <v>2.6379999999999999</v>
      </c>
      <c r="X714">
        <v>9.4481333332999995</v>
      </c>
      <c r="Z714">
        <v>10310.89</v>
      </c>
      <c r="AB714">
        <v>10315.32</v>
      </c>
      <c r="AD714">
        <v>10310.620000000001</v>
      </c>
      <c r="AF714" t="s">
        <v>182</v>
      </c>
      <c r="AG714" t="s">
        <v>185</v>
      </c>
      <c r="AI714" t="s">
        <v>186</v>
      </c>
      <c r="AJ714" t="s">
        <v>2310</v>
      </c>
      <c r="AK714" t="s">
        <v>188</v>
      </c>
    </row>
    <row r="715" spans="1:37" x14ac:dyDescent="0.3">
      <c r="A715">
        <v>8008</v>
      </c>
      <c r="B715" s="207">
        <v>46121</v>
      </c>
      <c r="C715" t="s">
        <v>438</v>
      </c>
      <c r="D715" t="s">
        <v>2311</v>
      </c>
      <c r="E715" t="s">
        <v>2312</v>
      </c>
      <c r="F715" s="207">
        <v>47177</v>
      </c>
      <c r="G715">
        <v>2.5</v>
      </c>
      <c r="H715">
        <v>5</v>
      </c>
      <c r="I715">
        <v>4889</v>
      </c>
      <c r="J715">
        <v>3.512</v>
      </c>
      <c r="K715">
        <v>10239</v>
      </c>
      <c r="L715">
        <v>5119</v>
      </c>
      <c r="M715">
        <v>-37</v>
      </c>
      <c r="N715">
        <v>267</v>
      </c>
      <c r="O715">
        <v>36</v>
      </c>
      <c r="P715">
        <v>0</v>
      </c>
      <c r="Q715">
        <v>231</v>
      </c>
      <c r="S715">
        <v>0</v>
      </c>
      <c r="T715">
        <v>0</v>
      </c>
      <c r="U715">
        <v>0</v>
      </c>
      <c r="V715">
        <v>2.8895</v>
      </c>
      <c r="W715">
        <v>2.7916666665999998</v>
      </c>
      <c r="X715">
        <v>10.4600333333</v>
      </c>
      <c r="Z715">
        <v>10239.19</v>
      </c>
      <c r="AB715">
        <v>10242.129999999999</v>
      </c>
      <c r="AD715">
        <v>10238.34</v>
      </c>
      <c r="AF715" t="s">
        <v>182</v>
      </c>
      <c r="AG715" t="s">
        <v>185</v>
      </c>
      <c r="AI715" t="s">
        <v>186</v>
      </c>
      <c r="AJ715" t="s">
        <v>2313</v>
      </c>
      <c r="AK715" t="s">
        <v>188</v>
      </c>
    </row>
    <row r="716" spans="1:37" x14ac:dyDescent="0.3">
      <c r="A716">
        <v>8008</v>
      </c>
      <c r="B716" s="207">
        <v>46121</v>
      </c>
      <c r="C716" t="s">
        <v>438</v>
      </c>
      <c r="D716" t="s">
        <v>2314</v>
      </c>
      <c r="E716" t="s">
        <v>2315</v>
      </c>
      <c r="F716" s="207">
        <v>47208</v>
      </c>
      <c r="G716">
        <v>2.5</v>
      </c>
      <c r="H716">
        <v>2064</v>
      </c>
      <c r="I716">
        <v>2016284</v>
      </c>
      <c r="J716">
        <v>3.5419999999999998</v>
      </c>
      <c r="K716">
        <v>10201</v>
      </c>
      <c r="L716">
        <v>2105486</v>
      </c>
      <c r="M716">
        <v>-16755</v>
      </c>
      <c r="N716">
        <v>105957</v>
      </c>
      <c r="O716">
        <v>14485</v>
      </c>
      <c r="P716">
        <v>42904</v>
      </c>
      <c r="Q716">
        <v>48568</v>
      </c>
      <c r="S716">
        <v>0</v>
      </c>
      <c r="T716">
        <v>8030</v>
      </c>
      <c r="U716">
        <v>800</v>
      </c>
      <c r="V716">
        <v>2.9744000000000002</v>
      </c>
      <c r="W716">
        <v>2.8720666665999999</v>
      </c>
      <c r="X716">
        <v>11.0145666666</v>
      </c>
      <c r="Z716">
        <v>10202.31</v>
      </c>
      <c r="AB716">
        <v>10202.379999999999</v>
      </c>
      <c r="AD716">
        <v>10199.969999999999</v>
      </c>
      <c r="AF716" t="s">
        <v>182</v>
      </c>
      <c r="AG716" t="s">
        <v>185</v>
      </c>
      <c r="AI716" t="s">
        <v>186</v>
      </c>
      <c r="AJ716" t="s">
        <v>2316</v>
      </c>
      <c r="AK716" t="s">
        <v>188</v>
      </c>
    </row>
    <row r="717" spans="1:37" x14ac:dyDescent="0.3">
      <c r="A717">
        <v>8008</v>
      </c>
      <c r="B717" s="207">
        <v>46121</v>
      </c>
      <c r="C717" t="s">
        <v>438</v>
      </c>
      <c r="D717" t="s">
        <v>2317</v>
      </c>
      <c r="E717" t="s">
        <v>2318</v>
      </c>
      <c r="F717" s="207">
        <v>47238</v>
      </c>
      <c r="G717">
        <v>2.5</v>
      </c>
      <c r="H717">
        <v>22310</v>
      </c>
      <c r="I717">
        <v>21747544</v>
      </c>
      <c r="J717">
        <v>3.552</v>
      </c>
      <c r="K717">
        <v>10169</v>
      </c>
      <c r="L717">
        <v>22687039</v>
      </c>
      <c r="M717">
        <v>-158255</v>
      </c>
      <c r="N717">
        <v>1097750</v>
      </c>
      <c r="O717">
        <v>155434</v>
      </c>
      <c r="P717">
        <v>8459</v>
      </c>
      <c r="Q717">
        <v>933857</v>
      </c>
      <c r="S717">
        <v>0</v>
      </c>
      <c r="T717">
        <v>22940</v>
      </c>
      <c r="U717">
        <v>2280</v>
      </c>
      <c r="V717">
        <v>3.0566</v>
      </c>
      <c r="W717">
        <v>2.9514999999999998</v>
      </c>
      <c r="X717">
        <v>11.544766666599999</v>
      </c>
      <c r="Z717">
        <v>10169.42</v>
      </c>
      <c r="AB717">
        <v>10170.39</v>
      </c>
      <c r="AD717">
        <v>10167.92</v>
      </c>
      <c r="AF717" t="s">
        <v>182</v>
      </c>
      <c r="AG717" t="s">
        <v>185</v>
      </c>
      <c r="AI717" t="s">
        <v>186</v>
      </c>
      <c r="AJ717" t="s">
        <v>2319</v>
      </c>
      <c r="AK717" t="s">
        <v>188</v>
      </c>
    </row>
    <row r="718" spans="1:37" x14ac:dyDescent="0.3">
      <c r="A718">
        <v>8008</v>
      </c>
      <c r="B718" s="207">
        <v>46121</v>
      </c>
      <c r="C718" t="s">
        <v>438</v>
      </c>
      <c r="D718" t="s">
        <v>2320</v>
      </c>
      <c r="E718" t="s">
        <v>2321</v>
      </c>
      <c r="F718" s="207">
        <v>47269</v>
      </c>
      <c r="G718">
        <v>2.5</v>
      </c>
      <c r="H718">
        <v>2269</v>
      </c>
      <c r="I718">
        <v>2212689</v>
      </c>
      <c r="J718">
        <v>3.5539999999999998</v>
      </c>
      <c r="K718">
        <v>10138</v>
      </c>
      <c r="L718">
        <v>2300312</v>
      </c>
      <c r="M718">
        <v>-19033</v>
      </c>
      <c r="N718">
        <v>106656</v>
      </c>
      <c r="O718">
        <v>15857</v>
      </c>
      <c r="P718">
        <v>10075</v>
      </c>
      <c r="Q718">
        <v>80724</v>
      </c>
      <c r="S718">
        <v>0</v>
      </c>
      <c r="T718">
        <v>3610</v>
      </c>
      <c r="U718">
        <v>350</v>
      </c>
      <c r="V718">
        <v>3.1415666666000002</v>
      </c>
      <c r="W718">
        <v>3.0341999999999998</v>
      </c>
      <c r="X718">
        <v>12.098100000000001</v>
      </c>
      <c r="Z718">
        <v>10137.969999999999</v>
      </c>
      <c r="AB718">
        <v>10139.58</v>
      </c>
      <c r="AD718">
        <v>10136.73</v>
      </c>
      <c r="AF718" t="s">
        <v>182</v>
      </c>
      <c r="AG718" t="s">
        <v>185</v>
      </c>
      <c r="AI718" t="s">
        <v>186</v>
      </c>
      <c r="AJ718" t="s">
        <v>2322</v>
      </c>
      <c r="AK718" t="s">
        <v>188</v>
      </c>
    </row>
    <row r="719" spans="1:37" x14ac:dyDescent="0.3">
      <c r="A719">
        <v>8008</v>
      </c>
      <c r="B719" s="207">
        <v>46121</v>
      </c>
      <c r="C719" t="s">
        <v>438</v>
      </c>
      <c r="D719" t="s">
        <v>2323</v>
      </c>
      <c r="E719" t="s">
        <v>2324</v>
      </c>
      <c r="F719" s="207">
        <v>47299</v>
      </c>
      <c r="G719">
        <v>2.5</v>
      </c>
      <c r="H719">
        <v>2640</v>
      </c>
      <c r="I719">
        <v>2572129</v>
      </c>
      <c r="J719">
        <v>3.5569999999999999</v>
      </c>
      <c r="K719">
        <v>10107</v>
      </c>
      <c r="L719">
        <v>2668248</v>
      </c>
      <c r="M719">
        <v>-22373</v>
      </c>
      <c r="N719">
        <v>118492</v>
      </c>
      <c r="O719">
        <v>18413</v>
      </c>
      <c r="P719">
        <v>1112</v>
      </c>
      <c r="Q719">
        <v>98967</v>
      </c>
      <c r="S719">
        <v>0</v>
      </c>
      <c r="T719">
        <v>2730</v>
      </c>
      <c r="U719">
        <v>270</v>
      </c>
      <c r="V719">
        <v>3.2237666666</v>
      </c>
      <c r="W719">
        <v>3.1140666665999999</v>
      </c>
      <c r="X719">
        <v>12.649900000000001</v>
      </c>
      <c r="Z719">
        <v>10107.32</v>
      </c>
      <c r="AB719">
        <v>10109.91</v>
      </c>
      <c r="AD719">
        <v>10106.370000000001</v>
      </c>
      <c r="AF719" t="s">
        <v>182</v>
      </c>
      <c r="AG719" t="s">
        <v>185</v>
      </c>
      <c r="AI719" t="s">
        <v>186</v>
      </c>
      <c r="AJ719" t="s">
        <v>2325</v>
      </c>
      <c r="AK719" t="s">
        <v>188</v>
      </c>
    </row>
    <row r="720" spans="1:37" x14ac:dyDescent="0.3">
      <c r="A720">
        <v>8008</v>
      </c>
      <c r="B720" s="207">
        <v>46121</v>
      </c>
      <c r="C720" t="s">
        <v>438</v>
      </c>
      <c r="D720" t="s">
        <v>2326</v>
      </c>
      <c r="E720" t="s">
        <v>2327</v>
      </c>
      <c r="F720" s="207">
        <v>47330</v>
      </c>
      <c r="G720">
        <v>2.5</v>
      </c>
      <c r="H720">
        <v>13756</v>
      </c>
      <c r="I720">
        <v>13390992</v>
      </c>
      <c r="J720">
        <v>3.5590000000000002</v>
      </c>
      <c r="K720">
        <v>10077</v>
      </c>
      <c r="L720">
        <v>13861921</v>
      </c>
      <c r="M720">
        <v>-116376</v>
      </c>
      <c r="N720">
        <v>587305</v>
      </c>
      <c r="O720">
        <v>95743</v>
      </c>
      <c r="P720">
        <v>8604</v>
      </c>
      <c r="Q720">
        <v>482958</v>
      </c>
      <c r="S720">
        <v>0</v>
      </c>
      <c r="T720">
        <v>14600</v>
      </c>
      <c r="U720">
        <v>1450</v>
      </c>
      <c r="V720">
        <v>3.3086666666000002</v>
      </c>
      <c r="W720">
        <v>3.1964999999999999</v>
      </c>
      <c r="X720">
        <v>13.2372</v>
      </c>
      <c r="Z720">
        <v>10076.129999999999</v>
      </c>
      <c r="AB720">
        <v>10079.75</v>
      </c>
      <c r="AD720">
        <v>10075.48</v>
      </c>
      <c r="AF720" t="s">
        <v>182</v>
      </c>
      <c r="AG720" t="s">
        <v>185</v>
      </c>
      <c r="AI720" t="s">
        <v>186</v>
      </c>
      <c r="AJ720" t="s">
        <v>2328</v>
      </c>
      <c r="AK720" t="s">
        <v>188</v>
      </c>
    </row>
    <row r="721" spans="1:37" x14ac:dyDescent="0.3">
      <c r="A721">
        <v>8008</v>
      </c>
      <c r="B721" s="207">
        <v>46121</v>
      </c>
      <c r="C721" t="s">
        <v>438</v>
      </c>
      <c r="D721" t="s">
        <v>2329</v>
      </c>
      <c r="E721" t="s">
        <v>2330</v>
      </c>
      <c r="F721" s="207">
        <v>47391</v>
      </c>
      <c r="G721">
        <v>2.5</v>
      </c>
      <c r="H721">
        <v>110811</v>
      </c>
      <c r="I721">
        <v>107678467</v>
      </c>
      <c r="J721">
        <v>3.5619999999999998</v>
      </c>
      <c r="K721">
        <v>10016</v>
      </c>
      <c r="L721">
        <v>110988296</v>
      </c>
      <c r="M721">
        <v>-945373</v>
      </c>
      <c r="N721">
        <v>4255202</v>
      </c>
      <c r="O721">
        <v>768074</v>
      </c>
      <c r="P721">
        <v>1627007</v>
      </c>
      <c r="Q721">
        <v>1860121</v>
      </c>
      <c r="S721">
        <v>0</v>
      </c>
      <c r="T721">
        <v>335290</v>
      </c>
      <c r="U721">
        <v>33510</v>
      </c>
      <c r="V721">
        <v>3.4758</v>
      </c>
      <c r="W721">
        <v>3.3581333333000001</v>
      </c>
      <c r="X721">
        <v>14.4421666666</v>
      </c>
      <c r="Z721">
        <v>10015.120000000001</v>
      </c>
      <c r="AB721">
        <v>10020.58</v>
      </c>
      <c r="AD721">
        <v>10015.120000000001</v>
      </c>
      <c r="AF721" t="s">
        <v>182</v>
      </c>
      <c r="AG721" t="s">
        <v>185</v>
      </c>
      <c r="AI721" t="s">
        <v>186</v>
      </c>
      <c r="AJ721" t="s">
        <v>2331</v>
      </c>
      <c r="AK721" t="s">
        <v>188</v>
      </c>
    </row>
    <row r="722" spans="1:37" x14ac:dyDescent="0.3">
      <c r="A722">
        <v>8008</v>
      </c>
      <c r="B722" s="207">
        <v>46121</v>
      </c>
      <c r="C722" t="s">
        <v>438</v>
      </c>
      <c r="D722" t="s">
        <v>2332</v>
      </c>
      <c r="E722" t="s">
        <v>2333</v>
      </c>
      <c r="F722" s="207">
        <v>47422</v>
      </c>
      <c r="G722">
        <v>2.5</v>
      </c>
      <c r="H722">
        <v>71072</v>
      </c>
      <c r="I722">
        <v>68592105</v>
      </c>
      <c r="J722">
        <v>3.5649999999999999</v>
      </c>
      <c r="K722">
        <v>9986</v>
      </c>
      <c r="L722">
        <v>70972498</v>
      </c>
      <c r="M722">
        <v>-194197</v>
      </c>
      <c r="N722">
        <v>2574590</v>
      </c>
      <c r="O722">
        <v>378481</v>
      </c>
      <c r="P722">
        <v>908736</v>
      </c>
      <c r="Q722">
        <v>1287373</v>
      </c>
      <c r="S722">
        <v>0</v>
      </c>
      <c r="T722">
        <v>180200</v>
      </c>
      <c r="U722">
        <v>18000</v>
      </c>
      <c r="V722">
        <v>3.5607000000000002</v>
      </c>
      <c r="W722">
        <v>3.4400333333000002</v>
      </c>
      <c r="X722">
        <v>15.0791333333</v>
      </c>
      <c r="Z722">
        <v>9983.99</v>
      </c>
      <c r="AB722">
        <v>9990.6</v>
      </c>
      <c r="AD722">
        <v>9984.33</v>
      </c>
      <c r="AF722" t="s">
        <v>182</v>
      </c>
      <c r="AG722" t="s">
        <v>185</v>
      </c>
      <c r="AI722" t="s">
        <v>186</v>
      </c>
      <c r="AJ722" t="s">
        <v>2334</v>
      </c>
      <c r="AK722" t="s">
        <v>188</v>
      </c>
    </row>
    <row r="723" spans="1:37" x14ac:dyDescent="0.3">
      <c r="A723">
        <v>8008</v>
      </c>
      <c r="B723" s="207">
        <v>46121</v>
      </c>
      <c r="C723" t="s">
        <v>438</v>
      </c>
      <c r="D723" t="s">
        <v>2335</v>
      </c>
      <c r="E723" t="s">
        <v>2336</v>
      </c>
      <c r="F723" s="207">
        <v>47452</v>
      </c>
      <c r="G723">
        <v>2.5</v>
      </c>
      <c r="H723">
        <v>238434</v>
      </c>
      <c r="I723">
        <v>231145830</v>
      </c>
      <c r="J723">
        <v>3.5670000000000002</v>
      </c>
      <c r="K723">
        <v>9956</v>
      </c>
      <c r="L723">
        <v>237384889</v>
      </c>
      <c r="M723">
        <v>-1897309</v>
      </c>
      <c r="N723">
        <v>8136368</v>
      </c>
      <c r="O723">
        <v>1641314</v>
      </c>
      <c r="P723">
        <v>3896761</v>
      </c>
      <c r="Q723">
        <v>2598293</v>
      </c>
      <c r="S723">
        <v>0</v>
      </c>
      <c r="T723">
        <v>775310</v>
      </c>
      <c r="U723">
        <v>77510</v>
      </c>
      <c r="V723">
        <v>3.6429</v>
      </c>
      <c r="W723">
        <v>3.5191333333000001</v>
      </c>
      <c r="X723">
        <v>15.711333333300001</v>
      </c>
      <c r="Z723">
        <v>9953.58</v>
      </c>
      <c r="AB723">
        <v>9962.07</v>
      </c>
      <c r="AD723">
        <v>9954.98</v>
      </c>
      <c r="AF723" t="s">
        <v>182</v>
      </c>
      <c r="AG723" t="s">
        <v>185</v>
      </c>
      <c r="AI723" t="s">
        <v>186</v>
      </c>
      <c r="AJ723" t="s">
        <v>2337</v>
      </c>
      <c r="AK723" t="s">
        <v>188</v>
      </c>
    </row>
    <row r="724" spans="1:37" x14ac:dyDescent="0.3">
      <c r="A724">
        <v>8008</v>
      </c>
      <c r="B724" s="207">
        <v>46121</v>
      </c>
      <c r="C724" t="s">
        <v>438</v>
      </c>
      <c r="D724" t="s">
        <v>2338</v>
      </c>
      <c r="E724" t="s">
        <v>2339</v>
      </c>
      <c r="F724" s="207">
        <v>47483</v>
      </c>
      <c r="G724">
        <v>2.5</v>
      </c>
      <c r="H724">
        <v>149258</v>
      </c>
      <c r="I724">
        <v>144408222</v>
      </c>
      <c r="J724">
        <v>3.57</v>
      </c>
      <c r="K724">
        <v>9926</v>
      </c>
      <c r="L724">
        <v>148153490</v>
      </c>
      <c r="M724">
        <v>-1024678</v>
      </c>
      <c r="N724">
        <v>4769946</v>
      </c>
      <c r="O724">
        <v>1019826</v>
      </c>
      <c r="P724">
        <v>1784293</v>
      </c>
      <c r="Q724">
        <v>1965827</v>
      </c>
      <c r="S724">
        <v>0</v>
      </c>
      <c r="T724">
        <v>392570</v>
      </c>
      <c r="U724">
        <v>39240</v>
      </c>
      <c r="V724">
        <v>3.7278666666000002</v>
      </c>
      <c r="W724">
        <v>3.6006666666</v>
      </c>
      <c r="X724">
        <v>16.380533333300001</v>
      </c>
      <c r="Z724">
        <v>9921.9599999999991</v>
      </c>
      <c r="AB724">
        <v>9932.41</v>
      </c>
      <c r="AD724">
        <v>9924.82</v>
      </c>
      <c r="AF724" t="s">
        <v>182</v>
      </c>
      <c r="AG724" t="s">
        <v>185</v>
      </c>
      <c r="AI724" t="s">
        <v>186</v>
      </c>
      <c r="AJ724" t="s">
        <v>2340</v>
      </c>
      <c r="AK724" t="s">
        <v>188</v>
      </c>
    </row>
    <row r="725" spans="1:37" x14ac:dyDescent="0.3">
      <c r="A725">
        <v>8008</v>
      </c>
      <c r="B725" s="207">
        <v>46121</v>
      </c>
      <c r="C725" t="s">
        <v>438</v>
      </c>
      <c r="D725" t="s">
        <v>2341</v>
      </c>
      <c r="E725" t="s">
        <v>2342</v>
      </c>
      <c r="F725" s="207">
        <v>47664</v>
      </c>
      <c r="G725">
        <v>2.5</v>
      </c>
      <c r="H725">
        <v>177062</v>
      </c>
      <c r="I725">
        <v>170248135</v>
      </c>
      <c r="J725">
        <v>3.6059999999999999</v>
      </c>
      <c r="K725">
        <v>9741</v>
      </c>
      <c r="L725">
        <v>172476092</v>
      </c>
      <c r="M725">
        <v>-1206802</v>
      </c>
      <c r="N725">
        <v>3434759</v>
      </c>
      <c r="O725">
        <v>1202094</v>
      </c>
      <c r="P725">
        <v>1543095</v>
      </c>
      <c r="Q725">
        <v>689570</v>
      </c>
      <c r="S725">
        <v>0</v>
      </c>
      <c r="T725">
        <v>384300</v>
      </c>
      <c r="U725">
        <v>38410</v>
      </c>
      <c r="V725">
        <v>4.2237666666000004</v>
      </c>
      <c r="W725">
        <v>4.0778666666000003</v>
      </c>
      <c r="X725">
        <v>20.509933333300001</v>
      </c>
      <c r="Z725">
        <v>9732.91</v>
      </c>
      <c r="AB725">
        <v>9748.8799999999992</v>
      </c>
      <c r="AD725">
        <v>9742.0499999999993</v>
      </c>
      <c r="AF725" t="s">
        <v>182</v>
      </c>
      <c r="AG725" t="s">
        <v>185</v>
      </c>
      <c r="AI725" t="s">
        <v>186</v>
      </c>
      <c r="AJ725" t="s">
        <v>2343</v>
      </c>
      <c r="AK725" t="s">
        <v>188</v>
      </c>
    </row>
    <row r="726" spans="1:37" x14ac:dyDescent="0.3">
      <c r="A726">
        <v>8008</v>
      </c>
      <c r="B726" s="207">
        <v>46121</v>
      </c>
      <c r="C726" t="s">
        <v>438</v>
      </c>
      <c r="D726" t="s">
        <v>2344</v>
      </c>
      <c r="E726" t="s">
        <v>2345</v>
      </c>
      <c r="F726" s="207">
        <v>47695</v>
      </c>
      <c r="G726">
        <v>2.5</v>
      </c>
      <c r="H726">
        <v>116678</v>
      </c>
      <c r="I726">
        <v>112107408</v>
      </c>
      <c r="J726">
        <v>3.6160000000000001</v>
      </c>
      <c r="K726">
        <v>9707</v>
      </c>
      <c r="L726">
        <v>113259331</v>
      </c>
      <c r="M726">
        <v>-862288</v>
      </c>
      <c r="N726">
        <v>2014211</v>
      </c>
      <c r="O726">
        <v>792280</v>
      </c>
      <c r="P726">
        <v>987454</v>
      </c>
      <c r="Q726">
        <v>234477</v>
      </c>
      <c r="S726">
        <v>0</v>
      </c>
      <c r="T726">
        <v>249130</v>
      </c>
      <c r="U726">
        <v>24880</v>
      </c>
      <c r="V726">
        <v>4.3086666665999998</v>
      </c>
      <c r="W726">
        <v>4.1598666666000002</v>
      </c>
      <c r="X726">
        <v>21.252233333300001</v>
      </c>
      <c r="Z726">
        <v>9699.2199999999993</v>
      </c>
      <c r="AB726">
        <v>9715.0499999999993</v>
      </c>
      <c r="AD726">
        <v>9708.91</v>
      </c>
      <c r="AF726" t="s">
        <v>182</v>
      </c>
      <c r="AG726" t="s">
        <v>185</v>
      </c>
      <c r="AI726" t="s">
        <v>186</v>
      </c>
      <c r="AJ726" t="s">
        <v>2346</v>
      </c>
      <c r="AK726" t="s">
        <v>188</v>
      </c>
    </row>
    <row r="727" spans="1:37" x14ac:dyDescent="0.3">
      <c r="A727">
        <v>8008</v>
      </c>
      <c r="B727" s="207">
        <v>46121</v>
      </c>
      <c r="C727" t="s">
        <v>438</v>
      </c>
      <c r="D727" t="s">
        <v>2347</v>
      </c>
      <c r="E727" t="s">
        <v>2348</v>
      </c>
      <c r="F727" s="207">
        <v>47726</v>
      </c>
      <c r="G727">
        <v>2</v>
      </c>
      <c r="H727">
        <v>6621</v>
      </c>
      <c r="I727">
        <v>6209204</v>
      </c>
      <c r="J727">
        <v>3.6240000000000001</v>
      </c>
      <c r="K727">
        <v>9440</v>
      </c>
      <c r="L727">
        <v>6250224</v>
      </c>
      <c r="M727">
        <v>-39207</v>
      </c>
      <c r="N727">
        <v>80227</v>
      </c>
      <c r="O727">
        <v>35897</v>
      </c>
      <c r="P727">
        <v>30378</v>
      </c>
      <c r="Q727">
        <v>13952</v>
      </c>
      <c r="S727">
        <v>0</v>
      </c>
      <c r="T727">
        <v>9270</v>
      </c>
      <c r="U727">
        <v>920</v>
      </c>
      <c r="V727">
        <v>4.3936000000000002</v>
      </c>
      <c r="W727">
        <v>4.2417666666000002</v>
      </c>
      <c r="X727">
        <v>22.011633333300001</v>
      </c>
      <c r="Z727">
        <v>9433.5</v>
      </c>
      <c r="AB727">
        <v>9447.02</v>
      </c>
      <c r="AD727">
        <v>9441.91</v>
      </c>
      <c r="AF727" t="s">
        <v>182</v>
      </c>
      <c r="AG727" t="s">
        <v>185</v>
      </c>
      <c r="AI727" t="s">
        <v>186</v>
      </c>
      <c r="AJ727" t="s">
        <v>2349</v>
      </c>
      <c r="AK727" t="s">
        <v>188</v>
      </c>
    </row>
    <row r="728" spans="1:37" x14ac:dyDescent="0.3">
      <c r="A728">
        <v>8008</v>
      </c>
      <c r="B728" s="207">
        <v>46121</v>
      </c>
      <c r="C728" t="s">
        <v>438</v>
      </c>
      <c r="D728" t="s">
        <v>2350</v>
      </c>
      <c r="E728" t="s">
        <v>2351</v>
      </c>
      <c r="F728" s="207">
        <v>47756</v>
      </c>
      <c r="G728">
        <v>2</v>
      </c>
      <c r="H728">
        <v>17650</v>
      </c>
      <c r="I728">
        <v>16526431</v>
      </c>
      <c r="J728">
        <v>3.633</v>
      </c>
      <c r="K728">
        <v>9409</v>
      </c>
      <c r="L728">
        <v>16606885</v>
      </c>
      <c r="M728">
        <v>-104361</v>
      </c>
      <c r="N728">
        <v>184815</v>
      </c>
      <c r="O728">
        <v>95536</v>
      </c>
      <c r="P728">
        <v>57964</v>
      </c>
      <c r="Q728">
        <v>31315</v>
      </c>
      <c r="S728">
        <v>0</v>
      </c>
      <c r="T728">
        <v>21480</v>
      </c>
      <c r="U728">
        <v>2140</v>
      </c>
      <c r="V728">
        <v>4.4757999999999996</v>
      </c>
      <c r="W728">
        <v>4.3208666665999997</v>
      </c>
      <c r="X728">
        <v>22.7617666666</v>
      </c>
      <c r="Z728">
        <v>9402.89</v>
      </c>
      <c r="AB728">
        <v>9414.9699999999993</v>
      </c>
      <c r="AD728">
        <v>9411.0300000000007</v>
      </c>
      <c r="AF728" t="s">
        <v>182</v>
      </c>
      <c r="AG728" t="s">
        <v>185</v>
      </c>
      <c r="AI728" t="s">
        <v>186</v>
      </c>
      <c r="AJ728" t="s">
        <v>2352</v>
      </c>
      <c r="AK728" t="s">
        <v>188</v>
      </c>
    </row>
    <row r="729" spans="1:37" x14ac:dyDescent="0.3">
      <c r="A729">
        <v>8008</v>
      </c>
      <c r="B729" s="207">
        <v>46121</v>
      </c>
      <c r="C729" t="s">
        <v>438</v>
      </c>
      <c r="D729" t="s">
        <v>2353</v>
      </c>
      <c r="E729" t="s">
        <v>2354</v>
      </c>
      <c r="F729" s="207">
        <v>47787</v>
      </c>
      <c r="G729">
        <v>2</v>
      </c>
      <c r="H729">
        <v>4375</v>
      </c>
      <c r="I729">
        <v>4089884</v>
      </c>
      <c r="J729">
        <v>3.6419999999999999</v>
      </c>
      <c r="K729">
        <v>9377</v>
      </c>
      <c r="L729">
        <v>4102437</v>
      </c>
      <c r="M729">
        <v>-25829</v>
      </c>
      <c r="N729">
        <v>38382</v>
      </c>
      <c r="O729">
        <v>23641</v>
      </c>
      <c r="P729">
        <v>8091</v>
      </c>
      <c r="Q729">
        <v>6650</v>
      </c>
      <c r="S729">
        <v>0</v>
      </c>
      <c r="T729">
        <v>4440</v>
      </c>
      <c r="U729">
        <v>440</v>
      </c>
      <c r="V729">
        <v>4.5606999999999998</v>
      </c>
      <c r="W729">
        <v>4.4024333333000003</v>
      </c>
      <c r="X729">
        <v>23.5527666666</v>
      </c>
      <c r="Z729">
        <v>9371.44</v>
      </c>
      <c r="AB729">
        <v>9381.6299999999992</v>
      </c>
      <c r="AD729">
        <v>9379.2900000000009</v>
      </c>
      <c r="AF729" t="s">
        <v>182</v>
      </c>
      <c r="AG729" t="s">
        <v>185</v>
      </c>
      <c r="AI729" t="s">
        <v>186</v>
      </c>
      <c r="AJ729" t="s">
        <v>2355</v>
      </c>
      <c r="AK729" t="s">
        <v>188</v>
      </c>
    </row>
    <row r="730" spans="1:37" x14ac:dyDescent="0.3">
      <c r="A730">
        <v>8008</v>
      </c>
      <c r="B730" s="207">
        <v>46121</v>
      </c>
      <c r="C730" t="s">
        <v>438</v>
      </c>
      <c r="D730" t="s">
        <v>2356</v>
      </c>
      <c r="E730" t="s">
        <v>2357</v>
      </c>
      <c r="F730" s="207">
        <v>47817</v>
      </c>
      <c r="G730">
        <v>2</v>
      </c>
      <c r="H730">
        <v>6200</v>
      </c>
      <c r="I730">
        <v>5779197</v>
      </c>
      <c r="J730">
        <v>3.6509999999999998</v>
      </c>
      <c r="K730">
        <v>9345</v>
      </c>
      <c r="L730">
        <v>5793900</v>
      </c>
      <c r="M730">
        <v>-29518</v>
      </c>
      <c r="N730">
        <v>44221</v>
      </c>
      <c r="O730">
        <v>33033</v>
      </c>
      <c r="P730">
        <v>565</v>
      </c>
      <c r="Q730">
        <v>10623</v>
      </c>
      <c r="S730">
        <v>0</v>
      </c>
      <c r="T730">
        <v>4700</v>
      </c>
      <c r="U730">
        <v>470</v>
      </c>
      <c r="V730">
        <v>4.6429</v>
      </c>
      <c r="W730">
        <v>4.4810999999999996</v>
      </c>
      <c r="X730">
        <v>24.332899999999999</v>
      </c>
      <c r="Z730">
        <v>9339.73</v>
      </c>
      <c r="AB730">
        <v>9349.64</v>
      </c>
      <c r="AD730">
        <v>9348.5400000000009</v>
      </c>
      <c r="AF730" t="s">
        <v>182</v>
      </c>
      <c r="AG730" t="s">
        <v>185</v>
      </c>
      <c r="AI730" t="s">
        <v>186</v>
      </c>
      <c r="AJ730" t="s">
        <v>2358</v>
      </c>
      <c r="AK730" t="s">
        <v>188</v>
      </c>
    </row>
    <row r="731" spans="1:37" x14ac:dyDescent="0.3">
      <c r="A731">
        <v>8008</v>
      </c>
      <c r="B731" s="207">
        <v>46121</v>
      </c>
      <c r="C731" t="s">
        <v>438</v>
      </c>
      <c r="D731" t="s">
        <v>2359</v>
      </c>
      <c r="E731" t="s">
        <v>2360</v>
      </c>
      <c r="F731" s="207">
        <v>47848</v>
      </c>
      <c r="G731">
        <v>2</v>
      </c>
      <c r="H731">
        <v>280</v>
      </c>
      <c r="I731">
        <v>258456</v>
      </c>
      <c r="J731">
        <v>3.661</v>
      </c>
      <c r="K731">
        <v>9313</v>
      </c>
      <c r="L731">
        <v>260764</v>
      </c>
      <c r="M731">
        <v>785</v>
      </c>
      <c r="N731">
        <v>1523</v>
      </c>
      <c r="O731">
        <v>1067</v>
      </c>
      <c r="P731">
        <v>0</v>
      </c>
      <c r="Q731">
        <v>456</v>
      </c>
      <c r="S731">
        <v>0</v>
      </c>
      <c r="T731">
        <v>140</v>
      </c>
      <c r="U731">
        <v>10</v>
      </c>
      <c r="V731">
        <v>4.7278666665999998</v>
      </c>
      <c r="W731">
        <v>4.5622333333</v>
      </c>
      <c r="X731">
        <v>25.154666666600001</v>
      </c>
      <c r="Z731">
        <v>9307.58</v>
      </c>
      <c r="AB731">
        <v>9316.77</v>
      </c>
      <c r="AD731">
        <v>9316.51</v>
      </c>
      <c r="AF731" t="s">
        <v>182</v>
      </c>
      <c r="AG731" t="s">
        <v>185</v>
      </c>
      <c r="AI731" t="s">
        <v>186</v>
      </c>
      <c r="AJ731" t="s">
        <v>2361</v>
      </c>
      <c r="AK731" t="s">
        <v>188</v>
      </c>
    </row>
    <row r="732" spans="1:37" x14ac:dyDescent="0.3">
      <c r="A732">
        <v>8008</v>
      </c>
      <c r="B732" s="207">
        <v>46121</v>
      </c>
      <c r="C732" t="s">
        <v>438</v>
      </c>
      <c r="D732" t="s">
        <v>2362</v>
      </c>
      <c r="E732" t="s">
        <v>2363</v>
      </c>
      <c r="F732" s="207">
        <v>47879</v>
      </c>
      <c r="G732">
        <v>2</v>
      </c>
      <c r="H732">
        <v>2037</v>
      </c>
      <c r="I732">
        <v>1886158</v>
      </c>
      <c r="J732">
        <v>3.6709999999999998</v>
      </c>
      <c r="K732">
        <v>9281</v>
      </c>
      <c r="L732">
        <v>1890539</v>
      </c>
      <c r="M732">
        <v>-3258</v>
      </c>
      <c r="N732">
        <v>7639</v>
      </c>
      <c r="O732">
        <v>4709</v>
      </c>
      <c r="P732">
        <v>0</v>
      </c>
      <c r="Q732">
        <v>2930</v>
      </c>
      <c r="S732">
        <v>0</v>
      </c>
      <c r="T732">
        <v>650</v>
      </c>
      <c r="U732">
        <v>60</v>
      </c>
      <c r="V732">
        <v>4.8128000000000002</v>
      </c>
      <c r="W732">
        <v>4.6432000000000002</v>
      </c>
      <c r="X732">
        <v>25.9916666666</v>
      </c>
      <c r="Z732">
        <v>9274.6299999999992</v>
      </c>
      <c r="AB732">
        <v>9283.5</v>
      </c>
      <c r="AD732">
        <v>9284.98</v>
      </c>
      <c r="AF732" t="s">
        <v>182</v>
      </c>
      <c r="AG732" t="s">
        <v>185</v>
      </c>
      <c r="AI732" t="s">
        <v>186</v>
      </c>
      <c r="AJ732" t="s">
        <v>2364</v>
      </c>
      <c r="AK732" t="s">
        <v>188</v>
      </c>
    </row>
    <row r="733" spans="1:37" x14ac:dyDescent="0.3">
      <c r="A733">
        <v>8008</v>
      </c>
      <c r="B733" s="207">
        <v>46121</v>
      </c>
      <c r="C733" t="s">
        <v>438</v>
      </c>
      <c r="D733" t="s">
        <v>2365</v>
      </c>
      <c r="E733" t="s">
        <v>2366</v>
      </c>
      <c r="F733" s="207">
        <v>47907</v>
      </c>
      <c r="G733">
        <v>2</v>
      </c>
      <c r="H733">
        <v>7031</v>
      </c>
      <c r="I733">
        <v>6370902</v>
      </c>
      <c r="J733">
        <v>3.681</v>
      </c>
      <c r="K733">
        <v>9251</v>
      </c>
      <c r="L733">
        <v>6504378</v>
      </c>
      <c r="M733">
        <v>117819</v>
      </c>
      <c r="N733">
        <v>15657</v>
      </c>
      <c r="O733">
        <v>3888</v>
      </c>
      <c r="P733">
        <v>0</v>
      </c>
      <c r="Q733">
        <v>11769</v>
      </c>
      <c r="S733">
        <v>0</v>
      </c>
      <c r="T733">
        <v>540</v>
      </c>
      <c r="U733">
        <v>50</v>
      </c>
      <c r="V733">
        <v>4.8895</v>
      </c>
      <c r="W733">
        <v>4.7161333333000002</v>
      </c>
      <c r="X733">
        <v>26.7605333333</v>
      </c>
      <c r="Z733">
        <v>9244</v>
      </c>
      <c r="AB733">
        <v>9253.84</v>
      </c>
      <c r="AD733">
        <v>9256.2199999999993</v>
      </c>
      <c r="AF733" t="s">
        <v>182</v>
      </c>
      <c r="AG733" t="s">
        <v>185</v>
      </c>
      <c r="AI733" t="s">
        <v>186</v>
      </c>
      <c r="AJ733" t="s">
        <v>2367</v>
      </c>
      <c r="AK733" t="s">
        <v>188</v>
      </c>
    </row>
    <row r="734" spans="1:37" x14ac:dyDescent="0.3">
      <c r="A734">
        <v>8008</v>
      </c>
      <c r="B734" s="207">
        <v>46121</v>
      </c>
      <c r="C734" t="s">
        <v>438</v>
      </c>
      <c r="D734" t="s">
        <v>2368</v>
      </c>
      <c r="E734" t="s">
        <v>2369</v>
      </c>
      <c r="F734" s="207">
        <v>47968</v>
      </c>
      <c r="G734">
        <v>2</v>
      </c>
      <c r="H734">
        <v>120970</v>
      </c>
      <c r="I734">
        <v>109918615</v>
      </c>
      <c r="J734">
        <v>3.7010000000000001</v>
      </c>
      <c r="K734">
        <v>9187</v>
      </c>
      <c r="L734">
        <v>111135137</v>
      </c>
      <c r="M734">
        <v>1216522</v>
      </c>
      <c r="N734">
        <v>0</v>
      </c>
      <c r="O734">
        <v>0</v>
      </c>
      <c r="P734">
        <v>0</v>
      </c>
      <c r="Q734">
        <v>0</v>
      </c>
      <c r="S734">
        <v>0</v>
      </c>
      <c r="T734">
        <v>0</v>
      </c>
      <c r="U734">
        <v>0</v>
      </c>
      <c r="V734">
        <v>5.0566000000000004</v>
      </c>
      <c r="W734">
        <v>4.8758666666000003</v>
      </c>
      <c r="X734">
        <v>28.459566666600001</v>
      </c>
      <c r="Z734">
        <v>9177.61</v>
      </c>
      <c r="AB734">
        <v>9189.0300000000007</v>
      </c>
      <c r="AD734">
        <v>9195.08</v>
      </c>
      <c r="AF734" t="s">
        <v>182</v>
      </c>
      <c r="AG734" t="s">
        <v>185</v>
      </c>
      <c r="AI734" t="s">
        <v>186</v>
      </c>
      <c r="AJ734" t="s">
        <v>2370</v>
      </c>
      <c r="AK734" t="s">
        <v>188</v>
      </c>
    </row>
    <row r="735" spans="1:37" x14ac:dyDescent="0.3">
      <c r="A735">
        <v>8008</v>
      </c>
      <c r="B735" s="207">
        <v>46121</v>
      </c>
      <c r="C735" t="s">
        <v>438</v>
      </c>
      <c r="D735" t="s">
        <v>2371</v>
      </c>
      <c r="E735" t="s">
        <v>2372</v>
      </c>
      <c r="F735" s="207">
        <v>46203</v>
      </c>
      <c r="G735">
        <v>1.05</v>
      </c>
      <c r="H735">
        <v>99</v>
      </c>
      <c r="I735">
        <v>98228</v>
      </c>
      <c r="J735">
        <v>2.69</v>
      </c>
      <c r="K735">
        <v>10473</v>
      </c>
      <c r="L735">
        <v>103681</v>
      </c>
      <c r="M735">
        <v>388</v>
      </c>
      <c r="N735">
        <v>5065</v>
      </c>
      <c r="O735">
        <v>295</v>
      </c>
      <c r="P735">
        <v>561</v>
      </c>
      <c r="Q735">
        <v>4209</v>
      </c>
      <c r="S735">
        <v>0</v>
      </c>
      <c r="T735">
        <v>110</v>
      </c>
      <c r="U735">
        <v>0</v>
      </c>
      <c r="V735">
        <v>0.22283333329999999</v>
      </c>
      <c r="W735">
        <v>0.2185</v>
      </c>
      <c r="X735">
        <v>0.2051</v>
      </c>
      <c r="Z735">
        <v>10473.31</v>
      </c>
      <c r="AB735">
        <v>10474.17</v>
      </c>
      <c r="AD735">
        <v>10473.06</v>
      </c>
      <c r="AF735" t="s">
        <v>182</v>
      </c>
      <c r="AG735" t="s">
        <v>185</v>
      </c>
      <c r="AI735" t="s">
        <v>186</v>
      </c>
      <c r="AJ735" t="s">
        <v>2373</v>
      </c>
      <c r="AK735" t="s">
        <v>188</v>
      </c>
    </row>
    <row r="736" spans="1:37" x14ac:dyDescent="0.3">
      <c r="A736">
        <v>8008</v>
      </c>
      <c r="B736" s="207">
        <v>46121</v>
      </c>
      <c r="C736" t="s">
        <v>438</v>
      </c>
      <c r="D736" t="s">
        <v>2374</v>
      </c>
      <c r="E736" t="s">
        <v>2375</v>
      </c>
      <c r="F736" s="207">
        <v>46265</v>
      </c>
      <c r="G736">
        <v>1.05</v>
      </c>
      <c r="H736">
        <v>79042</v>
      </c>
      <c r="I736">
        <v>78200780</v>
      </c>
      <c r="J736">
        <v>2.7730000000000001</v>
      </c>
      <c r="K736">
        <v>10422</v>
      </c>
      <c r="L736">
        <v>82377572</v>
      </c>
      <c r="M736">
        <v>279131</v>
      </c>
      <c r="N736">
        <v>3897661</v>
      </c>
      <c r="O736">
        <v>234643</v>
      </c>
      <c r="P736">
        <v>3563413</v>
      </c>
      <c r="Q736">
        <v>99605</v>
      </c>
      <c r="S736">
        <v>0</v>
      </c>
      <c r="T736">
        <v>531720</v>
      </c>
      <c r="U736">
        <v>53160</v>
      </c>
      <c r="V736">
        <v>0.39269999999999999</v>
      </c>
      <c r="W736">
        <v>0.38419999999999999</v>
      </c>
      <c r="X736">
        <v>0.44579999999999997</v>
      </c>
      <c r="Z736">
        <v>10421.75</v>
      </c>
      <c r="AB736">
        <v>10423.59</v>
      </c>
      <c r="AD736">
        <v>10423.040000000001</v>
      </c>
      <c r="AF736" t="s">
        <v>182</v>
      </c>
      <c r="AG736" t="s">
        <v>185</v>
      </c>
      <c r="AI736" t="s">
        <v>186</v>
      </c>
      <c r="AJ736" t="s">
        <v>2376</v>
      </c>
      <c r="AK736" t="s">
        <v>188</v>
      </c>
    </row>
    <row r="737" spans="1:37" x14ac:dyDescent="0.3">
      <c r="A737">
        <v>8008</v>
      </c>
      <c r="B737" s="207">
        <v>46121</v>
      </c>
      <c r="C737" t="s">
        <v>438</v>
      </c>
      <c r="D737" t="s">
        <v>2377</v>
      </c>
      <c r="E737" t="s">
        <v>2378</v>
      </c>
      <c r="F737" s="207">
        <v>46326</v>
      </c>
      <c r="G737">
        <v>1.05</v>
      </c>
      <c r="H737">
        <v>8003</v>
      </c>
      <c r="I737">
        <v>7894818</v>
      </c>
      <c r="J737">
        <v>2.835</v>
      </c>
      <c r="K737">
        <v>10371</v>
      </c>
      <c r="L737">
        <v>8299911</v>
      </c>
      <c r="M737">
        <v>25102</v>
      </c>
      <c r="N737">
        <v>379991</v>
      </c>
      <c r="O737">
        <v>23716</v>
      </c>
      <c r="P737">
        <v>349635</v>
      </c>
      <c r="Q737">
        <v>6640</v>
      </c>
      <c r="S737">
        <v>0</v>
      </c>
      <c r="T737">
        <v>52260</v>
      </c>
      <c r="U737">
        <v>5220</v>
      </c>
      <c r="V737">
        <v>0.55979999999999996</v>
      </c>
      <c r="W737">
        <v>0.54663333329999997</v>
      </c>
      <c r="X737">
        <v>0.75286666660000001</v>
      </c>
      <c r="Z737">
        <v>10370.69</v>
      </c>
      <c r="AB737">
        <v>10372.08</v>
      </c>
      <c r="AD737">
        <v>10372.34</v>
      </c>
      <c r="AF737" t="s">
        <v>182</v>
      </c>
      <c r="AG737" t="s">
        <v>185</v>
      </c>
      <c r="AI737" t="s">
        <v>186</v>
      </c>
      <c r="AJ737" t="s">
        <v>2379</v>
      </c>
      <c r="AK737" t="s">
        <v>188</v>
      </c>
    </row>
    <row r="738" spans="1:37" x14ac:dyDescent="0.3">
      <c r="A738">
        <v>8008</v>
      </c>
      <c r="B738" s="207">
        <v>46121</v>
      </c>
      <c r="C738" t="s">
        <v>438</v>
      </c>
      <c r="D738" t="s">
        <v>2380</v>
      </c>
      <c r="E738" t="s">
        <v>2381</v>
      </c>
      <c r="F738" s="207">
        <v>46356</v>
      </c>
      <c r="G738">
        <v>1.05</v>
      </c>
      <c r="H738">
        <v>4953</v>
      </c>
      <c r="I738">
        <v>4878599</v>
      </c>
      <c r="J738">
        <v>2.8540000000000001</v>
      </c>
      <c r="K738">
        <v>10346</v>
      </c>
      <c r="L738">
        <v>5124373</v>
      </c>
      <c r="M738">
        <v>15053</v>
      </c>
      <c r="N738">
        <v>230721</v>
      </c>
      <c r="O738">
        <v>14665</v>
      </c>
      <c r="P738">
        <v>158157</v>
      </c>
      <c r="Q738">
        <v>57899</v>
      </c>
      <c r="S738">
        <v>0</v>
      </c>
      <c r="T738">
        <v>24190</v>
      </c>
      <c r="U738">
        <v>2410</v>
      </c>
      <c r="V738">
        <v>0.64200000000000002</v>
      </c>
      <c r="W738">
        <v>0.62626666659999997</v>
      </c>
      <c r="X738">
        <v>0.92920000000000003</v>
      </c>
      <c r="Z738">
        <v>10346.290000000001</v>
      </c>
      <c r="AB738">
        <v>10347.15</v>
      </c>
      <c r="AD738">
        <v>10346.75</v>
      </c>
      <c r="AF738" t="s">
        <v>182</v>
      </c>
      <c r="AG738" t="s">
        <v>185</v>
      </c>
      <c r="AI738" t="s">
        <v>186</v>
      </c>
      <c r="AJ738" t="s">
        <v>2382</v>
      </c>
      <c r="AK738" t="s">
        <v>188</v>
      </c>
    </row>
    <row r="739" spans="1:37" x14ac:dyDescent="0.3">
      <c r="A739">
        <v>8008</v>
      </c>
      <c r="B739" s="207">
        <v>46121</v>
      </c>
      <c r="C739" t="s">
        <v>438</v>
      </c>
      <c r="D739" t="s">
        <v>2383</v>
      </c>
      <c r="E739" t="s">
        <v>2384</v>
      </c>
      <c r="F739" s="207">
        <v>46568</v>
      </c>
      <c r="G739">
        <v>1.05</v>
      </c>
      <c r="H739">
        <v>56626</v>
      </c>
      <c r="I739">
        <v>55070937</v>
      </c>
      <c r="J739">
        <v>3.0779999999999998</v>
      </c>
      <c r="K739">
        <v>10152</v>
      </c>
      <c r="L739">
        <v>57486713</v>
      </c>
      <c r="M739">
        <v>136466</v>
      </c>
      <c r="N739">
        <v>2279310</v>
      </c>
      <c r="O739">
        <v>165947</v>
      </c>
      <c r="P739">
        <v>958535</v>
      </c>
      <c r="Q739">
        <v>1154828</v>
      </c>
      <c r="S739">
        <v>0</v>
      </c>
      <c r="T739">
        <v>157390</v>
      </c>
      <c r="U739">
        <v>15710</v>
      </c>
      <c r="V739">
        <v>1.2228333333000001</v>
      </c>
      <c r="W739">
        <v>1.1880333332999999</v>
      </c>
      <c r="X739">
        <v>2.5088333333000001</v>
      </c>
      <c r="Z739">
        <v>10151.92</v>
      </c>
      <c r="AB739">
        <v>10152.41</v>
      </c>
      <c r="AD739">
        <v>10151.92</v>
      </c>
      <c r="AF739" t="s">
        <v>182</v>
      </c>
      <c r="AG739" t="s">
        <v>185</v>
      </c>
      <c r="AI739" t="s">
        <v>186</v>
      </c>
      <c r="AJ739" t="s">
        <v>2385</v>
      </c>
      <c r="AK739" t="s">
        <v>188</v>
      </c>
    </row>
    <row r="740" spans="1:37" x14ac:dyDescent="0.3">
      <c r="A740">
        <v>8008</v>
      </c>
      <c r="B740" s="207">
        <v>46121</v>
      </c>
      <c r="C740" t="s">
        <v>438</v>
      </c>
      <c r="D740" t="s">
        <v>2386</v>
      </c>
      <c r="E740" t="s">
        <v>2387</v>
      </c>
      <c r="F740" s="207">
        <v>46752</v>
      </c>
      <c r="G740">
        <v>1.05</v>
      </c>
      <c r="H740">
        <v>3096</v>
      </c>
      <c r="I740">
        <v>2980895</v>
      </c>
      <c r="J740">
        <v>3.2290000000000001</v>
      </c>
      <c r="K740">
        <v>9972</v>
      </c>
      <c r="L740">
        <v>3087331</v>
      </c>
      <c r="M740">
        <v>-1269</v>
      </c>
      <c r="N740">
        <v>107705</v>
      </c>
      <c r="O740">
        <v>9063</v>
      </c>
      <c r="P740">
        <v>549</v>
      </c>
      <c r="Q740">
        <v>98093</v>
      </c>
      <c r="S740">
        <v>0</v>
      </c>
      <c r="T740">
        <v>1340</v>
      </c>
      <c r="U740">
        <v>130</v>
      </c>
      <c r="V740">
        <v>1.7269333333000001</v>
      </c>
      <c r="W740">
        <v>1.6749333333</v>
      </c>
      <c r="X740">
        <v>4.3666333333000003</v>
      </c>
      <c r="Z740">
        <v>9970.1299999999992</v>
      </c>
      <c r="AB740">
        <v>9975.7800000000007</v>
      </c>
      <c r="AD740">
        <v>9972.1299999999992</v>
      </c>
      <c r="AF740" t="s">
        <v>182</v>
      </c>
      <c r="AG740" t="s">
        <v>185</v>
      </c>
      <c r="AI740" t="s">
        <v>186</v>
      </c>
      <c r="AJ740" t="s">
        <v>2388</v>
      </c>
      <c r="AK740" t="s">
        <v>188</v>
      </c>
    </row>
    <row r="741" spans="1:37" x14ac:dyDescent="0.3">
      <c r="A741">
        <v>8008</v>
      </c>
      <c r="B741" s="207">
        <v>46121</v>
      </c>
      <c r="C741" t="s">
        <v>438</v>
      </c>
      <c r="D741" t="s">
        <v>2389</v>
      </c>
      <c r="E741" t="s">
        <v>2390</v>
      </c>
      <c r="F741" s="207">
        <v>46783</v>
      </c>
      <c r="G741">
        <v>2.5</v>
      </c>
      <c r="H741">
        <v>7575</v>
      </c>
      <c r="I741">
        <v>7501469</v>
      </c>
      <c r="J741">
        <v>3.25</v>
      </c>
      <c r="K741">
        <v>10676</v>
      </c>
      <c r="L741">
        <v>8087070</v>
      </c>
      <c r="M741">
        <v>-35012</v>
      </c>
      <c r="N741">
        <v>620613</v>
      </c>
      <c r="O741">
        <v>54707</v>
      </c>
      <c r="P741">
        <v>426978</v>
      </c>
      <c r="Q741">
        <v>138928</v>
      </c>
      <c r="S741">
        <v>0</v>
      </c>
      <c r="T741">
        <v>67420</v>
      </c>
      <c r="U741">
        <v>6730</v>
      </c>
      <c r="V741">
        <v>1.8119000000000001</v>
      </c>
      <c r="W741">
        <v>1.7564333333</v>
      </c>
      <c r="X741">
        <v>4.7390333333000001</v>
      </c>
      <c r="Z741">
        <v>10673.66</v>
      </c>
      <c r="AB741">
        <v>10680.12</v>
      </c>
      <c r="AD741">
        <v>10675.72</v>
      </c>
      <c r="AF741" t="s">
        <v>182</v>
      </c>
      <c r="AG741" t="s">
        <v>185</v>
      </c>
      <c r="AI741" t="s">
        <v>186</v>
      </c>
      <c r="AJ741" t="s">
        <v>2391</v>
      </c>
      <c r="AK741" t="s">
        <v>188</v>
      </c>
    </row>
    <row r="742" spans="1:37" x14ac:dyDescent="0.3">
      <c r="A742">
        <v>8008</v>
      </c>
      <c r="B742" s="207">
        <v>46121</v>
      </c>
      <c r="C742" t="s">
        <v>438</v>
      </c>
      <c r="D742" t="s">
        <v>2392</v>
      </c>
      <c r="E742" t="s">
        <v>2393</v>
      </c>
      <c r="F742" s="207">
        <v>46873</v>
      </c>
      <c r="G742">
        <v>2.5</v>
      </c>
      <c r="H742">
        <v>13702</v>
      </c>
      <c r="I742">
        <v>13529960</v>
      </c>
      <c r="J742">
        <v>3.3050000000000002</v>
      </c>
      <c r="K742">
        <v>10582</v>
      </c>
      <c r="L742">
        <v>14499456</v>
      </c>
      <c r="M742">
        <v>-64107</v>
      </c>
      <c r="N742">
        <v>1033603</v>
      </c>
      <c r="O742">
        <v>98362</v>
      </c>
      <c r="P742">
        <v>400861</v>
      </c>
      <c r="Q742">
        <v>534380</v>
      </c>
      <c r="S742">
        <v>0</v>
      </c>
      <c r="T742">
        <v>69880</v>
      </c>
      <c r="U742">
        <v>6970</v>
      </c>
      <c r="V742">
        <v>2.0566</v>
      </c>
      <c r="W742">
        <v>1.9904999999999999</v>
      </c>
      <c r="X742">
        <v>5.8721666666000001</v>
      </c>
      <c r="Z742">
        <v>10579.74</v>
      </c>
      <c r="AB742">
        <v>10586.56</v>
      </c>
      <c r="AD742">
        <v>10581.01</v>
      </c>
      <c r="AF742" t="s">
        <v>182</v>
      </c>
      <c r="AG742" t="s">
        <v>185</v>
      </c>
      <c r="AI742" t="s">
        <v>186</v>
      </c>
      <c r="AJ742" t="s">
        <v>2394</v>
      </c>
      <c r="AK742" t="s">
        <v>188</v>
      </c>
    </row>
    <row r="743" spans="1:37" x14ac:dyDescent="0.3">
      <c r="A743">
        <v>8008</v>
      </c>
      <c r="B743" s="207">
        <v>46121</v>
      </c>
      <c r="C743" t="s">
        <v>438</v>
      </c>
      <c r="D743" t="s">
        <v>2395</v>
      </c>
      <c r="E743" t="s">
        <v>2396</v>
      </c>
      <c r="F743" s="207">
        <v>46904</v>
      </c>
      <c r="G743">
        <v>2.5</v>
      </c>
      <c r="H743">
        <v>7750</v>
      </c>
      <c r="I743">
        <v>7644462</v>
      </c>
      <c r="J743">
        <v>3.3180000000000001</v>
      </c>
      <c r="K743">
        <v>10550</v>
      </c>
      <c r="L743">
        <v>8176250</v>
      </c>
      <c r="M743">
        <v>-35368</v>
      </c>
      <c r="N743">
        <v>567156</v>
      </c>
      <c r="O743">
        <v>55518</v>
      </c>
      <c r="P743">
        <v>140483</v>
      </c>
      <c r="Q743">
        <v>371155</v>
      </c>
      <c r="S743">
        <v>0</v>
      </c>
      <c r="T743">
        <v>27430</v>
      </c>
      <c r="U743">
        <v>2740</v>
      </c>
      <c r="V743">
        <v>2.1415666666000002</v>
      </c>
      <c r="W743">
        <v>2.0731666666000002</v>
      </c>
      <c r="X743">
        <v>6.2661666666000002</v>
      </c>
      <c r="Z743">
        <v>10547.66</v>
      </c>
      <c r="AB743">
        <v>10554.08</v>
      </c>
      <c r="AD743">
        <v>10548.53</v>
      </c>
      <c r="AF743" t="s">
        <v>182</v>
      </c>
      <c r="AG743" t="s">
        <v>185</v>
      </c>
      <c r="AI743" t="s">
        <v>186</v>
      </c>
      <c r="AJ743" t="s">
        <v>2397</v>
      </c>
      <c r="AK743" t="s">
        <v>188</v>
      </c>
    </row>
    <row r="744" spans="1:37" x14ac:dyDescent="0.3">
      <c r="A744">
        <v>8008</v>
      </c>
      <c r="B744" s="207">
        <v>46121</v>
      </c>
      <c r="C744" t="s">
        <v>438</v>
      </c>
      <c r="D744" t="s">
        <v>2398</v>
      </c>
      <c r="E744" t="s">
        <v>2399</v>
      </c>
      <c r="F744" s="207">
        <v>46934</v>
      </c>
      <c r="G744">
        <v>2.5</v>
      </c>
      <c r="H744">
        <v>4700</v>
      </c>
      <c r="I744">
        <v>4631584</v>
      </c>
      <c r="J744">
        <v>3.3290000000000002</v>
      </c>
      <c r="K744">
        <v>10518</v>
      </c>
      <c r="L744">
        <v>4943460</v>
      </c>
      <c r="M744">
        <v>-21850</v>
      </c>
      <c r="N744">
        <v>333726</v>
      </c>
      <c r="O744">
        <v>33600</v>
      </c>
      <c r="P744">
        <v>2029</v>
      </c>
      <c r="Q744">
        <v>298097</v>
      </c>
      <c r="S744">
        <v>0</v>
      </c>
      <c r="T744">
        <v>4980</v>
      </c>
      <c r="U744">
        <v>490</v>
      </c>
      <c r="V744">
        <v>2.2237666666</v>
      </c>
      <c r="W744">
        <v>2.1530333332999998</v>
      </c>
      <c r="X744">
        <v>6.6643333333000001</v>
      </c>
      <c r="Z744">
        <v>10516.97</v>
      </c>
      <c r="AB744">
        <v>10522.72</v>
      </c>
      <c r="AD744">
        <v>10516.97</v>
      </c>
      <c r="AF744" t="s">
        <v>182</v>
      </c>
      <c r="AG744" t="s">
        <v>185</v>
      </c>
      <c r="AI744" t="s">
        <v>186</v>
      </c>
      <c r="AJ744" t="s">
        <v>2400</v>
      </c>
      <c r="AK744" t="s">
        <v>188</v>
      </c>
    </row>
    <row r="745" spans="1:37" x14ac:dyDescent="0.3">
      <c r="A745">
        <v>8008</v>
      </c>
      <c r="B745" s="207">
        <v>46121</v>
      </c>
      <c r="C745" t="s">
        <v>438</v>
      </c>
      <c r="D745" t="s">
        <v>2401</v>
      </c>
      <c r="E745" t="s">
        <v>2402</v>
      </c>
      <c r="F745" s="207">
        <v>46996</v>
      </c>
      <c r="G745">
        <v>2.5</v>
      </c>
      <c r="H745">
        <v>1</v>
      </c>
      <c r="I745">
        <v>984</v>
      </c>
      <c r="J745">
        <v>3.355</v>
      </c>
      <c r="K745">
        <v>10454</v>
      </c>
      <c r="L745">
        <v>1045</v>
      </c>
      <c r="M745">
        <v>-5</v>
      </c>
      <c r="N745">
        <v>66</v>
      </c>
      <c r="O745">
        <v>7</v>
      </c>
      <c r="P745">
        <v>0</v>
      </c>
      <c r="Q745">
        <v>59</v>
      </c>
      <c r="S745">
        <v>0</v>
      </c>
      <c r="T745">
        <v>0</v>
      </c>
      <c r="U745">
        <v>0</v>
      </c>
      <c r="V745">
        <v>2.3936000000000002</v>
      </c>
      <c r="W745">
        <v>2.3175666665999999</v>
      </c>
      <c r="X745">
        <v>7.5385333333000002</v>
      </c>
      <c r="Z745">
        <v>10452.52</v>
      </c>
      <c r="AB745">
        <v>10457.700000000001</v>
      </c>
      <c r="AD745">
        <v>10451.799999999999</v>
      </c>
      <c r="AF745" t="s">
        <v>182</v>
      </c>
      <c r="AG745" t="s">
        <v>185</v>
      </c>
      <c r="AI745" t="s">
        <v>186</v>
      </c>
      <c r="AJ745" t="s">
        <v>2403</v>
      </c>
      <c r="AK745" t="s">
        <v>188</v>
      </c>
    </row>
    <row r="746" spans="1:37" x14ac:dyDescent="0.3">
      <c r="A746">
        <v>8008</v>
      </c>
      <c r="B746" s="207">
        <v>46121</v>
      </c>
      <c r="C746" t="s">
        <v>438</v>
      </c>
      <c r="D746" t="s">
        <v>2404</v>
      </c>
      <c r="E746" t="s">
        <v>2405</v>
      </c>
      <c r="F746" s="207">
        <v>47026</v>
      </c>
      <c r="G746">
        <v>2.5</v>
      </c>
      <c r="H746">
        <v>34928</v>
      </c>
      <c r="I746">
        <v>34314810</v>
      </c>
      <c r="J746">
        <v>3.3679999999999999</v>
      </c>
      <c r="K746">
        <v>10422</v>
      </c>
      <c r="L746">
        <v>36401961</v>
      </c>
      <c r="M746">
        <v>-160832</v>
      </c>
      <c r="N746">
        <v>2247983</v>
      </c>
      <c r="O746">
        <v>248153</v>
      </c>
      <c r="P746">
        <v>1747829</v>
      </c>
      <c r="Q746">
        <v>252001</v>
      </c>
      <c r="S746">
        <v>0</v>
      </c>
      <c r="T746">
        <v>279420</v>
      </c>
      <c r="U746">
        <v>27920</v>
      </c>
      <c r="V746">
        <v>2.4758</v>
      </c>
      <c r="W746">
        <v>2.3969333332999998</v>
      </c>
      <c r="X746">
        <v>7.9860333333</v>
      </c>
      <c r="Z746">
        <v>10420.85</v>
      </c>
      <c r="AB746">
        <v>10426.18</v>
      </c>
      <c r="AD746">
        <v>10420.1</v>
      </c>
      <c r="AF746" t="s">
        <v>182</v>
      </c>
      <c r="AG746" t="s">
        <v>185</v>
      </c>
      <c r="AI746" t="s">
        <v>186</v>
      </c>
      <c r="AJ746" t="s">
        <v>2406</v>
      </c>
      <c r="AK746" t="s">
        <v>188</v>
      </c>
    </row>
    <row r="747" spans="1:37" x14ac:dyDescent="0.3">
      <c r="A747">
        <v>8008</v>
      </c>
      <c r="B747" s="207">
        <v>46121</v>
      </c>
      <c r="C747" t="s">
        <v>438</v>
      </c>
      <c r="D747" t="s">
        <v>2407</v>
      </c>
      <c r="E747" t="s">
        <v>2408</v>
      </c>
      <c r="F747" s="207">
        <v>47149</v>
      </c>
      <c r="G747">
        <v>2.5</v>
      </c>
      <c r="H747">
        <v>5</v>
      </c>
      <c r="I747">
        <v>4894</v>
      </c>
      <c r="J747">
        <v>3.4849999999999999</v>
      </c>
      <c r="K747">
        <v>10274</v>
      </c>
      <c r="L747">
        <v>5137</v>
      </c>
      <c r="M747">
        <v>-34</v>
      </c>
      <c r="N747">
        <v>277</v>
      </c>
      <c r="O747">
        <v>36</v>
      </c>
      <c r="P747">
        <v>0</v>
      </c>
      <c r="Q747">
        <v>241</v>
      </c>
      <c r="S747">
        <v>0</v>
      </c>
      <c r="T747">
        <v>0</v>
      </c>
      <c r="U747">
        <v>0</v>
      </c>
      <c r="V747">
        <v>2.8128000000000002</v>
      </c>
      <c r="W747">
        <v>2.7187999999999999</v>
      </c>
      <c r="X747">
        <v>9.9726666666000003</v>
      </c>
      <c r="Z747">
        <v>10273.299999999999</v>
      </c>
      <c r="AB747">
        <v>10277.01</v>
      </c>
      <c r="AD747">
        <v>10272.74</v>
      </c>
      <c r="AF747" t="s">
        <v>182</v>
      </c>
      <c r="AG747" t="s">
        <v>185</v>
      </c>
      <c r="AI747" t="s">
        <v>186</v>
      </c>
      <c r="AJ747" t="s">
        <v>2409</v>
      </c>
      <c r="AK747" t="s">
        <v>188</v>
      </c>
    </row>
    <row r="748" spans="1:37" x14ac:dyDescent="0.3">
      <c r="A748">
        <v>8008</v>
      </c>
      <c r="B748" s="207">
        <v>46121</v>
      </c>
      <c r="C748" t="s">
        <v>438</v>
      </c>
      <c r="D748" t="s">
        <v>2410</v>
      </c>
      <c r="E748" t="s">
        <v>2411</v>
      </c>
      <c r="F748" s="207">
        <v>47208</v>
      </c>
      <c r="G748">
        <v>2.5</v>
      </c>
      <c r="H748">
        <v>22912</v>
      </c>
      <c r="I748">
        <v>22382315</v>
      </c>
      <c r="J748">
        <v>3.5419999999999998</v>
      </c>
      <c r="K748">
        <v>10201</v>
      </c>
      <c r="L748">
        <v>23372530</v>
      </c>
      <c r="M748">
        <v>-185994</v>
      </c>
      <c r="N748">
        <v>1176209</v>
      </c>
      <c r="O748">
        <v>160790</v>
      </c>
      <c r="P748">
        <v>51490</v>
      </c>
      <c r="Q748">
        <v>963929</v>
      </c>
      <c r="S748">
        <v>0</v>
      </c>
      <c r="T748">
        <v>29700</v>
      </c>
      <c r="U748">
        <v>2960</v>
      </c>
      <c r="V748">
        <v>2.9744000000000002</v>
      </c>
      <c r="W748">
        <v>2.8720666665999999</v>
      </c>
      <c r="X748">
        <v>11.0145666666</v>
      </c>
      <c r="Z748">
        <v>10202.31</v>
      </c>
      <c r="AB748">
        <v>10202.379999999999</v>
      </c>
      <c r="AD748">
        <v>10199.969999999999</v>
      </c>
      <c r="AF748" t="s">
        <v>182</v>
      </c>
      <c r="AG748" t="s">
        <v>185</v>
      </c>
      <c r="AI748" t="s">
        <v>186</v>
      </c>
      <c r="AJ748" t="s">
        <v>2412</v>
      </c>
      <c r="AK748" t="s">
        <v>188</v>
      </c>
    </row>
    <row r="749" spans="1:37" x14ac:dyDescent="0.3">
      <c r="A749">
        <v>8008</v>
      </c>
      <c r="B749" s="207">
        <v>46121</v>
      </c>
      <c r="C749" t="s">
        <v>438</v>
      </c>
      <c r="D749" t="s">
        <v>2413</v>
      </c>
      <c r="E749" t="s">
        <v>2414</v>
      </c>
      <c r="F749" s="207">
        <v>47514</v>
      </c>
      <c r="G749">
        <v>2.5</v>
      </c>
      <c r="H749">
        <v>23565</v>
      </c>
      <c r="I749">
        <v>22810406</v>
      </c>
      <c r="J749">
        <v>3.5739999999999998</v>
      </c>
      <c r="K749">
        <v>9895</v>
      </c>
      <c r="L749">
        <v>23317567</v>
      </c>
      <c r="M749">
        <v>-194975</v>
      </c>
      <c r="N749">
        <v>702136</v>
      </c>
      <c r="O749">
        <v>161985</v>
      </c>
      <c r="P749">
        <v>366822</v>
      </c>
      <c r="Q749">
        <v>173329</v>
      </c>
      <c r="S749">
        <v>0</v>
      </c>
      <c r="T749">
        <v>74000</v>
      </c>
      <c r="U749">
        <v>7380</v>
      </c>
      <c r="V749">
        <v>3.8128000000000002</v>
      </c>
      <c r="W749">
        <v>3.6819999999999999</v>
      </c>
      <c r="X749">
        <v>17.0657</v>
      </c>
      <c r="Z749">
        <v>9889.7000000000007</v>
      </c>
      <c r="AB749">
        <v>9902.9</v>
      </c>
      <c r="AD749">
        <v>9894.7999999999993</v>
      </c>
      <c r="AF749" t="s">
        <v>182</v>
      </c>
      <c r="AG749" t="s">
        <v>185</v>
      </c>
      <c r="AI749" t="s">
        <v>186</v>
      </c>
      <c r="AJ749" t="s">
        <v>2415</v>
      </c>
      <c r="AK749" t="s">
        <v>188</v>
      </c>
    </row>
    <row r="750" spans="1:37" x14ac:dyDescent="0.3">
      <c r="A750">
        <v>8008</v>
      </c>
      <c r="B750" s="207">
        <v>46121</v>
      </c>
      <c r="C750" t="s">
        <v>438</v>
      </c>
      <c r="D750" t="s">
        <v>2416</v>
      </c>
      <c r="E750" t="s">
        <v>2417</v>
      </c>
      <c r="F750" s="207">
        <v>47695</v>
      </c>
      <c r="G750">
        <v>2.5</v>
      </c>
      <c r="H750">
        <v>130497</v>
      </c>
      <c r="I750">
        <v>125385081</v>
      </c>
      <c r="J750">
        <v>3.6160000000000001</v>
      </c>
      <c r="K750">
        <v>9707</v>
      </c>
      <c r="L750">
        <v>126673436</v>
      </c>
      <c r="M750">
        <v>-964412</v>
      </c>
      <c r="N750">
        <v>2252767</v>
      </c>
      <c r="O750">
        <v>886113</v>
      </c>
      <c r="P750">
        <v>1084364</v>
      </c>
      <c r="Q750">
        <v>282290</v>
      </c>
      <c r="S750">
        <v>0</v>
      </c>
      <c r="T750">
        <v>275840</v>
      </c>
      <c r="U750">
        <v>27560</v>
      </c>
      <c r="V750">
        <v>4.3086666665999998</v>
      </c>
      <c r="W750">
        <v>4.1598666666000002</v>
      </c>
      <c r="X750">
        <v>21.252233333300001</v>
      </c>
      <c r="Z750">
        <v>9699.2199999999993</v>
      </c>
      <c r="AB750">
        <v>9715.0499999999993</v>
      </c>
      <c r="AD750">
        <v>9708.91</v>
      </c>
      <c r="AF750" t="s">
        <v>182</v>
      </c>
      <c r="AG750" t="s">
        <v>185</v>
      </c>
      <c r="AI750" t="s">
        <v>186</v>
      </c>
      <c r="AJ750" t="s">
        <v>2418</v>
      </c>
      <c r="AK750" t="s">
        <v>188</v>
      </c>
    </row>
    <row r="751" spans="1:37" x14ac:dyDescent="0.3">
      <c r="A751">
        <v>8008</v>
      </c>
      <c r="B751" s="207">
        <v>46121</v>
      </c>
      <c r="C751" t="s">
        <v>438</v>
      </c>
      <c r="D751" t="s">
        <v>2419</v>
      </c>
      <c r="E751" t="s">
        <v>2420</v>
      </c>
      <c r="F751" s="207">
        <v>47726</v>
      </c>
      <c r="G751">
        <v>2</v>
      </c>
      <c r="H751">
        <v>36238</v>
      </c>
      <c r="I751">
        <v>33984160</v>
      </c>
      <c r="J751">
        <v>3.6240000000000001</v>
      </c>
      <c r="K751">
        <v>9440</v>
      </c>
      <c r="L751">
        <v>34208672</v>
      </c>
      <c r="M751">
        <v>-214588</v>
      </c>
      <c r="N751">
        <v>439100</v>
      </c>
      <c r="O751">
        <v>196469</v>
      </c>
      <c r="P751">
        <v>81092</v>
      </c>
      <c r="Q751">
        <v>161539</v>
      </c>
      <c r="S751">
        <v>0</v>
      </c>
      <c r="T751">
        <v>38850</v>
      </c>
      <c r="U751">
        <v>3870</v>
      </c>
      <c r="V751">
        <v>4.3936000000000002</v>
      </c>
      <c r="W751">
        <v>4.2417666666000002</v>
      </c>
      <c r="X751">
        <v>22.011633333300001</v>
      </c>
      <c r="Z751">
        <v>9433.5</v>
      </c>
      <c r="AB751">
        <v>9447.02</v>
      </c>
      <c r="AD751">
        <v>9441.91</v>
      </c>
      <c r="AF751" t="s">
        <v>182</v>
      </c>
      <c r="AG751" t="s">
        <v>185</v>
      </c>
      <c r="AI751" t="s">
        <v>186</v>
      </c>
      <c r="AJ751" t="s">
        <v>2421</v>
      </c>
      <c r="AK751" t="s">
        <v>188</v>
      </c>
    </row>
    <row r="752" spans="1:37" x14ac:dyDescent="0.3">
      <c r="A752">
        <v>8008</v>
      </c>
      <c r="B752" s="207">
        <v>46121</v>
      </c>
      <c r="C752" t="s">
        <v>438</v>
      </c>
      <c r="D752" t="s">
        <v>2422</v>
      </c>
      <c r="E752" t="s">
        <v>2423</v>
      </c>
      <c r="F752" s="207">
        <v>47756</v>
      </c>
      <c r="G752">
        <v>2</v>
      </c>
      <c r="H752">
        <v>15215</v>
      </c>
      <c r="I752">
        <v>14246439</v>
      </c>
      <c r="J752">
        <v>3.633</v>
      </c>
      <c r="K752">
        <v>9409</v>
      </c>
      <c r="L752">
        <v>14315793</v>
      </c>
      <c r="M752">
        <v>-89964</v>
      </c>
      <c r="N752">
        <v>159318</v>
      </c>
      <c r="O752">
        <v>82356</v>
      </c>
      <c r="P752">
        <v>4977</v>
      </c>
      <c r="Q752">
        <v>71985</v>
      </c>
      <c r="S752">
        <v>0</v>
      </c>
      <c r="T752">
        <v>12220</v>
      </c>
      <c r="U752">
        <v>1220</v>
      </c>
      <c r="V752">
        <v>4.4757999999999996</v>
      </c>
      <c r="W752">
        <v>4.3208666665999997</v>
      </c>
      <c r="X752">
        <v>22.7617666666</v>
      </c>
      <c r="Z752">
        <v>9402.89</v>
      </c>
      <c r="AB752">
        <v>9414.9699999999993</v>
      </c>
      <c r="AD752">
        <v>9411.0300000000007</v>
      </c>
      <c r="AF752" t="s">
        <v>182</v>
      </c>
      <c r="AG752" t="s">
        <v>185</v>
      </c>
      <c r="AI752" t="s">
        <v>186</v>
      </c>
      <c r="AJ752" t="s">
        <v>2424</v>
      </c>
      <c r="AK752" t="s">
        <v>188</v>
      </c>
    </row>
    <row r="753" spans="1:37" x14ac:dyDescent="0.3">
      <c r="A753">
        <v>8008</v>
      </c>
      <c r="B753" s="207">
        <v>46121</v>
      </c>
      <c r="C753" t="s">
        <v>438</v>
      </c>
      <c r="D753" t="s">
        <v>2425</v>
      </c>
      <c r="E753" t="s">
        <v>2426</v>
      </c>
      <c r="F753" s="207">
        <v>46538</v>
      </c>
      <c r="G753">
        <v>1.05</v>
      </c>
      <c r="H753">
        <v>595</v>
      </c>
      <c r="I753">
        <v>563302</v>
      </c>
      <c r="J753">
        <v>3.0489999999999999</v>
      </c>
      <c r="K753">
        <v>10180</v>
      </c>
      <c r="L753">
        <v>605710</v>
      </c>
      <c r="M753">
        <v>17928</v>
      </c>
      <c r="N753">
        <v>24480</v>
      </c>
      <c r="O753">
        <v>33</v>
      </c>
      <c r="P753">
        <v>0</v>
      </c>
      <c r="Q753">
        <v>24447</v>
      </c>
      <c r="S753">
        <v>0</v>
      </c>
      <c r="T753">
        <v>0</v>
      </c>
      <c r="U753">
        <v>0</v>
      </c>
      <c r="V753">
        <v>1.1406333333000001</v>
      </c>
      <c r="W753">
        <v>1.1080666666000001</v>
      </c>
      <c r="X753">
        <v>2.2645333333000002</v>
      </c>
      <c r="Z753">
        <v>10181.450000000001</v>
      </c>
      <c r="AB753">
        <v>10180.68</v>
      </c>
      <c r="AD753">
        <v>10180.66</v>
      </c>
      <c r="AF753" t="s">
        <v>182</v>
      </c>
      <c r="AG753" t="s">
        <v>185</v>
      </c>
      <c r="AI753" t="s">
        <v>186</v>
      </c>
      <c r="AJ753" t="s">
        <v>2427</v>
      </c>
      <c r="AK753" t="s">
        <v>188</v>
      </c>
    </row>
    <row r="754" spans="1:37" x14ac:dyDescent="0.3">
      <c r="A754">
        <v>8008</v>
      </c>
      <c r="B754" s="207">
        <v>46121</v>
      </c>
      <c r="C754" t="s">
        <v>438</v>
      </c>
      <c r="D754" t="s">
        <v>2428</v>
      </c>
      <c r="E754" t="s">
        <v>2429</v>
      </c>
      <c r="F754" s="207">
        <v>46599</v>
      </c>
      <c r="G754">
        <v>1.05</v>
      </c>
      <c r="H754">
        <v>35867</v>
      </c>
      <c r="I754">
        <v>34845178</v>
      </c>
      <c r="J754">
        <v>3.1059999999999999</v>
      </c>
      <c r="K754">
        <v>10122</v>
      </c>
      <c r="L754">
        <v>36304575</v>
      </c>
      <c r="M754">
        <v>48765</v>
      </c>
      <c r="N754">
        <v>1410632</v>
      </c>
      <c r="O754">
        <v>105462</v>
      </c>
      <c r="P754">
        <v>1098478</v>
      </c>
      <c r="Q754">
        <v>206692</v>
      </c>
      <c r="S754">
        <v>0</v>
      </c>
      <c r="T754">
        <v>168520</v>
      </c>
      <c r="U754">
        <v>16840</v>
      </c>
      <c r="V754">
        <v>1.3077333333000001</v>
      </c>
      <c r="W754">
        <v>1.2705</v>
      </c>
      <c r="X754">
        <v>2.7788333333000002</v>
      </c>
      <c r="Z754">
        <v>10121.36</v>
      </c>
      <c r="AB754">
        <v>10122.91</v>
      </c>
      <c r="AD754">
        <v>10122</v>
      </c>
      <c r="AF754" t="s">
        <v>182</v>
      </c>
      <c r="AG754" t="s">
        <v>185</v>
      </c>
      <c r="AI754" t="s">
        <v>186</v>
      </c>
      <c r="AJ754" t="s">
        <v>2430</v>
      </c>
      <c r="AK754" t="s">
        <v>188</v>
      </c>
    </row>
    <row r="755" spans="1:37" x14ac:dyDescent="0.3">
      <c r="A755">
        <v>8008</v>
      </c>
      <c r="B755" s="207">
        <v>46121</v>
      </c>
      <c r="C755" t="s">
        <v>438</v>
      </c>
      <c r="D755" t="s">
        <v>2431</v>
      </c>
      <c r="E755" t="s">
        <v>2432</v>
      </c>
      <c r="F755" s="207">
        <v>46630</v>
      </c>
      <c r="G755">
        <v>1.05</v>
      </c>
      <c r="H755">
        <v>500</v>
      </c>
      <c r="I755">
        <v>484915</v>
      </c>
      <c r="J755">
        <v>3.1349999999999998</v>
      </c>
      <c r="K755">
        <v>10091</v>
      </c>
      <c r="L755">
        <v>504550</v>
      </c>
      <c r="M755">
        <v>431</v>
      </c>
      <c r="N755">
        <v>19204</v>
      </c>
      <c r="O755">
        <v>1469</v>
      </c>
      <c r="P755">
        <v>667</v>
      </c>
      <c r="Q755">
        <v>17068</v>
      </c>
      <c r="S755">
        <v>0</v>
      </c>
      <c r="T755">
        <v>290</v>
      </c>
      <c r="U755">
        <v>20</v>
      </c>
      <c r="V755">
        <v>1.3927</v>
      </c>
      <c r="W755">
        <v>1.3527333333</v>
      </c>
      <c r="X755">
        <v>3.0663666666</v>
      </c>
      <c r="Z755">
        <v>10090.549999999999</v>
      </c>
      <c r="AB755">
        <v>10093.290000000001</v>
      </c>
      <c r="AD755">
        <v>10091.64</v>
      </c>
      <c r="AF755" t="s">
        <v>182</v>
      </c>
      <c r="AG755" t="s">
        <v>185</v>
      </c>
      <c r="AI755" t="s">
        <v>186</v>
      </c>
      <c r="AJ755" t="s">
        <v>2433</v>
      </c>
      <c r="AK755" t="s">
        <v>188</v>
      </c>
    </row>
    <row r="756" spans="1:37" x14ac:dyDescent="0.3">
      <c r="A756">
        <v>8008</v>
      </c>
      <c r="B756" s="207">
        <v>46121</v>
      </c>
      <c r="C756" t="s">
        <v>438</v>
      </c>
      <c r="D756" t="s">
        <v>2434</v>
      </c>
      <c r="E756" t="s">
        <v>2435</v>
      </c>
      <c r="F756" s="207">
        <v>46812</v>
      </c>
      <c r="G756">
        <v>2.5</v>
      </c>
      <c r="H756">
        <v>70771</v>
      </c>
      <c r="I756">
        <v>70022706</v>
      </c>
      <c r="J756">
        <v>3.2709999999999999</v>
      </c>
      <c r="K756">
        <v>10646</v>
      </c>
      <c r="L756">
        <v>75342806</v>
      </c>
      <c r="M756">
        <v>-333208</v>
      </c>
      <c r="N756">
        <v>5653308</v>
      </c>
      <c r="O756">
        <v>510137</v>
      </c>
      <c r="P756">
        <v>3882166</v>
      </c>
      <c r="Q756">
        <v>1261005</v>
      </c>
      <c r="S756">
        <v>0</v>
      </c>
      <c r="T756">
        <v>614900</v>
      </c>
      <c r="U756">
        <v>61470</v>
      </c>
      <c r="V756">
        <v>1.8895</v>
      </c>
      <c r="W756">
        <v>1.8297666666000001</v>
      </c>
      <c r="X756">
        <v>5.0894666665999999</v>
      </c>
      <c r="Z756">
        <v>10643</v>
      </c>
      <c r="AB756">
        <v>10650.68</v>
      </c>
      <c r="AD756">
        <v>10645.73</v>
      </c>
      <c r="AF756" t="s">
        <v>182</v>
      </c>
      <c r="AG756" t="s">
        <v>185</v>
      </c>
      <c r="AI756" t="s">
        <v>186</v>
      </c>
      <c r="AJ756" t="s">
        <v>2436</v>
      </c>
      <c r="AK756" t="s">
        <v>188</v>
      </c>
    </row>
    <row r="757" spans="1:37" x14ac:dyDescent="0.3">
      <c r="A757">
        <v>8008</v>
      </c>
      <c r="B757" s="207">
        <v>46121</v>
      </c>
      <c r="C757" t="s">
        <v>438</v>
      </c>
      <c r="D757" t="s">
        <v>2437</v>
      </c>
      <c r="E757" t="s">
        <v>2438</v>
      </c>
      <c r="F757" s="207">
        <v>46965</v>
      </c>
      <c r="G757">
        <v>2.5</v>
      </c>
      <c r="H757">
        <v>155</v>
      </c>
      <c r="I757">
        <v>152593</v>
      </c>
      <c r="J757">
        <v>3.3410000000000002</v>
      </c>
      <c r="K757">
        <v>10486</v>
      </c>
      <c r="L757">
        <v>162533</v>
      </c>
      <c r="M757">
        <v>-718</v>
      </c>
      <c r="N757">
        <v>10658</v>
      </c>
      <c r="O757">
        <v>1106</v>
      </c>
      <c r="P757">
        <v>67</v>
      </c>
      <c r="Q757">
        <v>9485</v>
      </c>
      <c r="S757">
        <v>0</v>
      </c>
      <c r="T757">
        <v>160</v>
      </c>
      <c r="U757">
        <v>10</v>
      </c>
      <c r="V757">
        <v>2.3086666666000002</v>
      </c>
      <c r="W757">
        <v>2.2354333333</v>
      </c>
      <c r="X757">
        <v>7.0929333333000004</v>
      </c>
      <c r="Z757">
        <v>10485.34</v>
      </c>
      <c r="AB757">
        <v>10490.35</v>
      </c>
      <c r="AD757">
        <v>10484.4</v>
      </c>
      <c r="AF757" t="s">
        <v>182</v>
      </c>
      <c r="AG757" t="s">
        <v>185</v>
      </c>
      <c r="AI757" t="s">
        <v>186</v>
      </c>
      <c r="AJ757" t="s">
        <v>2439</v>
      </c>
      <c r="AK757" t="s">
        <v>188</v>
      </c>
    </row>
    <row r="758" spans="1:37" x14ac:dyDescent="0.3">
      <c r="A758">
        <v>8008</v>
      </c>
      <c r="B758" s="207">
        <v>46121</v>
      </c>
      <c r="C758" t="s">
        <v>438</v>
      </c>
      <c r="D758" t="s">
        <v>2440</v>
      </c>
      <c r="E758" t="s">
        <v>2441</v>
      </c>
      <c r="F758" s="207">
        <v>47087</v>
      </c>
      <c r="G758">
        <v>2.5</v>
      </c>
      <c r="H758">
        <v>59743</v>
      </c>
      <c r="I758">
        <v>58571925</v>
      </c>
      <c r="J758">
        <v>3.4239999999999999</v>
      </c>
      <c r="K758">
        <v>10350</v>
      </c>
      <c r="L758">
        <v>61834005</v>
      </c>
      <c r="M758">
        <v>-321141</v>
      </c>
      <c r="N758">
        <v>3583221</v>
      </c>
      <c r="O758">
        <v>422708</v>
      </c>
      <c r="P758">
        <v>2679478</v>
      </c>
      <c r="Q758">
        <v>481035</v>
      </c>
      <c r="S758">
        <v>0</v>
      </c>
      <c r="T758">
        <v>434270</v>
      </c>
      <c r="U758">
        <v>43380</v>
      </c>
      <c r="V758">
        <v>2.6429</v>
      </c>
      <c r="W758">
        <v>2.5570333333000002</v>
      </c>
      <c r="X758">
        <v>8.9396666666000009</v>
      </c>
      <c r="Z758">
        <v>10348.48</v>
      </c>
      <c r="AB758">
        <v>10353.59</v>
      </c>
      <c r="AD758">
        <v>10348.209999999999</v>
      </c>
      <c r="AF758" t="s">
        <v>182</v>
      </c>
      <c r="AG758" t="s">
        <v>185</v>
      </c>
      <c r="AI758" t="s">
        <v>186</v>
      </c>
      <c r="AJ758" t="s">
        <v>2442</v>
      </c>
      <c r="AK758" t="s">
        <v>188</v>
      </c>
    </row>
    <row r="759" spans="1:37" x14ac:dyDescent="0.3">
      <c r="A759">
        <v>8008</v>
      </c>
      <c r="B759" s="207">
        <v>46121</v>
      </c>
      <c r="C759" t="s">
        <v>438</v>
      </c>
      <c r="D759" t="s">
        <v>2443</v>
      </c>
      <c r="E759" t="s">
        <v>2444</v>
      </c>
      <c r="F759" s="207">
        <v>47118</v>
      </c>
      <c r="G759">
        <v>2.5</v>
      </c>
      <c r="H759">
        <v>5</v>
      </c>
      <c r="I759">
        <v>4898</v>
      </c>
      <c r="J759">
        <v>3.4550000000000001</v>
      </c>
      <c r="K759">
        <v>10312</v>
      </c>
      <c r="L759">
        <v>5156</v>
      </c>
      <c r="M759">
        <v>-30</v>
      </c>
      <c r="N759">
        <v>288</v>
      </c>
      <c r="O759">
        <v>36</v>
      </c>
      <c r="P759">
        <v>0</v>
      </c>
      <c r="Q759">
        <v>252</v>
      </c>
      <c r="S759">
        <v>0</v>
      </c>
      <c r="T759">
        <v>0</v>
      </c>
      <c r="U759">
        <v>0</v>
      </c>
      <c r="V759">
        <v>2.7278666666000002</v>
      </c>
      <c r="W759">
        <v>2.6379999999999999</v>
      </c>
      <c r="X759">
        <v>9.4481333332999995</v>
      </c>
      <c r="Z759">
        <v>10310.89</v>
      </c>
      <c r="AB759">
        <v>10315.32</v>
      </c>
      <c r="AD759">
        <v>10310.620000000001</v>
      </c>
      <c r="AF759" t="s">
        <v>182</v>
      </c>
      <c r="AG759" t="s">
        <v>185</v>
      </c>
      <c r="AI759" t="s">
        <v>186</v>
      </c>
      <c r="AJ759" t="s">
        <v>2445</v>
      </c>
      <c r="AK759" t="s">
        <v>188</v>
      </c>
    </row>
    <row r="760" spans="1:37" x14ac:dyDescent="0.3">
      <c r="A760">
        <v>8008</v>
      </c>
      <c r="B760" s="207">
        <v>46121</v>
      </c>
      <c r="C760" t="s">
        <v>438</v>
      </c>
      <c r="D760" t="s">
        <v>2446</v>
      </c>
      <c r="E760" t="s">
        <v>2447</v>
      </c>
      <c r="F760" s="207">
        <v>47422</v>
      </c>
      <c r="G760">
        <v>2.5</v>
      </c>
      <c r="H760">
        <v>33100</v>
      </c>
      <c r="I760">
        <v>32136518</v>
      </c>
      <c r="J760">
        <v>3.5649999999999999</v>
      </c>
      <c r="K760">
        <v>9986</v>
      </c>
      <c r="L760">
        <v>33053660</v>
      </c>
      <c r="M760">
        <v>-281908</v>
      </c>
      <c r="N760">
        <v>1199050</v>
      </c>
      <c r="O760">
        <v>228948</v>
      </c>
      <c r="P760">
        <v>760407</v>
      </c>
      <c r="Q760">
        <v>209695</v>
      </c>
      <c r="S760">
        <v>0</v>
      </c>
      <c r="T760">
        <v>138490</v>
      </c>
      <c r="U760">
        <v>13840</v>
      </c>
      <c r="V760">
        <v>3.5607000000000002</v>
      </c>
      <c r="W760">
        <v>3.4400333333000002</v>
      </c>
      <c r="X760">
        <v>15.0791333333</v>
      </c>
      <c r="Z760">
        <v>9983.99</v>
      </c>
      <c r="AB760">
        <v>9990.6</v>
      </c>
      <c r="AD760">
        <v>9984.33</v>
      </c>
      <c r="AF760" t="s">
        <v>182</v>
      </c>
      <c r="AG760" t="s">
        <v>185</v>
      </c>
      <c r="AI760" t="s">
        <v>186</v>
      </c>
      <c r="AJ760" t="s">
        <v>2448</v>
      </c>
      <c r="AK760" t="s">
        <v>188</v>
      </c>
    </row>
    <row r="761" spans="1:37" x14ac:dyDescent="0.3">
      <c r="A761">
        <v>8008</v>
      </c>
      <c r="B761" s="207">
        <v>46121</v>
      </c>
      <c r="C761" t="s">
        <v>438</v>
      </c>
      <c r="D761" t="s">
        <v>2449</v>
      </c>
      <c r="E761" t="s">
        <v>2450</v>
      </c>
      <c r="F761" s="207">
        <v>47452</v>
      </c>
      <c r="G761">
        <v>2.5</v>
      </c>
      <c r="H761">
        <v>7105</v>
      </c>
      <c r="I761">
        <v>6891699</v>
      </c>
      <c r="J761">
        <v>3.5670000000000002</v>
      </c>
      <c r="K761">
        <v>9956</v>
      </c>
      <c r="L761">
        <v>7073738</v>
      </c>
      <c r="M761">
        <v>-60413</v>
      </c>
      <c r="N761">
        <v>242452</v>
      </c>
      <c r="O761">
        <v>49045</v>
      </c>
      <c r="P761">
        <v>2962</v>
      </c>
      <c r="Q761">
        <v>190445</v>
      </c>
      <c r="S761">
        <v>0</v>
      </c>
      <c r="T761">
        <v>7280</v>
      </c>
      <c r="U761">
        <v>720</v>
      </c>
      <c r="V761">
        <v>3.6429</v>
      </c>
      <c r="W761">
        <v>3.5191333333000001</v>
      </c>
      <c r="X761">
        <v>15.711333333300001</v>
      </c>
      <c r="Z761">
        <v>9953.58</v>
      </c>
      <c r="AB761">
        <v>9962.07</v>
      </c>
      <c r="AD761">
        <v>9954.98</v>
      </c>
      <c r="AF761" t="s">
        <v>182</v>
      </c>
      <c r="AG761" t="s">
        <v>185</v>
      </c>
      <c r="AI761" t="s">
        <v>186</v>
      </c>
      <c r="AJ761" t="s">
        <v>2451</v>
      </c>
      <c r="AK761" t="s">
        <v>188</v>
      </c>
    </row>
    <row r="762" spans="1:37" x14ac:dyDescent="0.3">
      <c r="A762">
        <v>8008</v>
      </c>
      <c r="B762" s="207">
        <v>46121</v>
      </c>
      <c r="C762" t="s">
        <v>438</v>
      </c>
      <c r="D762" t="s">
        <v>2452</v>
      </c>
      <c r="E762" t="s">
        <v>2453</v>
      </c>
      <c r="F762" s="207">
        <v>47483</v>
      </c>
      <c r="G762">
        <v>2.5</v>
      </c>
      <c r="H762">
        <v>74992</v>
      </c>
      <c r="I762">
        <v>72677048</v>
      </c>
      <c r="J762">
        <v>3.57</v>
      </c>
      <c r="K762">
        <v>9926</v>
      </c>
      <c r="L762">
        <v>74437059</v>
      </c>
      <c r="M762">
        <v>-636562</v>
      </c>
      <c r="N762">
        <v>2396573</v>
      </c>
      <c r="O762">
        <v>516575</v>
      </c>
      <c r="P762">
        <v>896773</v>
      </c>
      <c r="Q762">
        <v>983225</v>
      </c>
      <c r="S762">
        <v>0</v>
      </c>
      <c r="T762">
        <v>197860</v>
      </c>
      <c r="U762">
        <v>19770</v>
      </c>
      <c r="V762">
        <v>3.7278666666000002</v>
      </c>
      <c r="W762">
        <v>3.6006666666</v>
      </c>
      <c r="X762">
        <v>16.380533333300001</v>
      </c>
      <c r="Z762">
        <v>9921.9599999999991</v>
      </c>
      <c r="AB762">
        <v>9932.41</v>
      </c>
      <c r="AD762">
        <v>9924.82</v>
      </c>
      <c r="AF762" t="s">
        <v>182</v>
      </c>
      <c r="AG762" t="s">
        <v>185</v>
      </c>
      <c r="AI762" t="s">
        <v>186</v>
      </c>
      <c r="AJ762" t="s">
        <v>2454</v>
      </c>
      <c r="AK762" t="s">
        <v>188</v>
      </c>
    </row>
    <row r="763" spans="1:37" x14ac:dyDescent="0.3">
      <c r="A763">
        <v>8008</v>
      </c>
      <c r="B763" s="207">
        <v>46121</v>
      </c>
      <c r="C763" t="s">
        <v>438</v>
      </c>
      <c r="D763" t="s">
        <v>2455</v>
      </c>
      <c r="E763" t="s">
        <v>2456</v>
      </c>
      <c r="F763" s="207">
        <v>47542</v>
      </c>
      <c r="G763">
        <v>2.5</v>
      </c>
      <c r="H763">
        <v>55407</v>
      </c>
      <c r="I763">
        <v>53177715</v>
      </c>
      <c r="J763">
        <v>3.577</v>
      </c>
      <c r="K763">
        <v>9868</v>
      </c>
      <c r="L763">
        <v>54675625</v>
      </c>
      <c r="M763">
        <v>-45005</v>
      </c>
      <c r="N763">
        <v>1542915</v>
      </c>
      <c r="O763">
        <v>369218</v>
      </c>
      <c r="P763">
        <v>77885</v>
      </c>
      <c r="Q763">
        <v>1095812</v>
      </c>
      <c r="S763">
        <v>0</v>
      </c>
      <c r="T763">
        <v>62560</v>
      </c>
      <c r="U763">
        <v>6220</v>
      </c>
      <c r="V763">
        <v>3.8895</v>
      </c>
      <c r="W763">
        <v>3.7553666666000001</v>
      </c>
      <c r="X763">
        <v>17.698599999999999</v>
      </c>
      <c r="Z763">
        <v>9861.08</v>
      </c>
      <c r="AB763">
        <v>9876.7199999999993</v>
      </c>
      <c r="AD763">
        <v>9867.75</v>
      </c>
      <c r="AF763" t="s">
        <v>182</v>
      </c>
      <c r="AG763" t="s">
        <v>185</v>
      </c>
      <c r="AI763" t="s">
        <v>186</v>
      </c>
      <c r="AJ763" t="s">
        <v>2457</v>
      </c>
      <c r="AK763" t="s">
        <v>188</v>
      </c>
    </row>
    <row r="764" spans="1:37" x14ac:dyDescent="0.3">
      <c r="A764">
        <v>8008</v>
      </c>
      <c r="B764" s="207">
        <v>46121</v>
      </c>
      <c r="C764" t="s">
        <v>438</v>
      </c>
      <c r="D764" t="s">
        <v>2458</v>
      </c>
      <c r="E764" t="s">
        <v>2459</v>
      </c>
      <c r="F764" s="207">
        <v>47573</v>
      </c>
      <c r="G764">
        <v>2.5</v>
      </c>
      <c r="H764">
        <v>108020</v>
      </c>
      <c r="I764">
        <v>104039475</v>
      </c>
      <c r="J764">
        <v>3.5790000000000002</v>
      </c>
      <c r="K764">
        <v>9838</v>
      </c>
      <c r="L764">
        <v>106270075</v>
      </c>
      <c r="M764">
        <v>-544826</v>
      </c>
      <c r="N764">
        <v>2775426</v>
      </c>
      <c r="O764">
        <v>732864</v>
      </c>
      <c r="P764">
        <v>1152754</v>
      </c>
      <c r="Q764">
        <v>889808</v>
      </c>
      <c r="S764">
        <v>0</v>
      </c>
      <c r="T764">
        <v>263950</v>
      </c>
      <c r="U764">
        <v>26380</v>
      </c>
      <c r="V764">
        <v>3.9744000000000002</v>
      </c>
      <c r="W764">
        <v>3.8365</v>
      </c>
      <c r="X764">
        <v>18.414633333299999</v>
      </c>
      <c r="Z764">
        <v>9830.84</v>
      </c>
      <c r="AB764">
        <v>9847.52</v>
      </c>
      <c r="AD764">
        <v>9837.6299999999992</v>
      </c>
      <c r="AF764" t="s">
        <v>182</v>
      </c>
      <c r="AG764" t="s">
        <v>185</v>
      </c>
      <c r="AI764" t="s">
        <v>186</v>
      </c>
      <c r="AJ764" t="s">
        <v>2460</v>
      </c>
      <c r="AK764" t="s">
        <v>188</v>
      </c>
    </row>
    <row r="765" spans="1:37" x14ac:dyDescent="0.3">
      <c r="A765">
        <v>8008</v>
      </c>
      <c r="B765" s="207">
        <v>46121</v>
      </c>
      <c r="C765" t="s">
        <v>438</v>
      </c>
      <c r="D765" t="s">
        <v>2461</v>
      </c>
      <c r="E765" t="s">
        <v>2462</v>
      </c>
      <c r="F765" s="207">
        <v>47634</v>
      </c>
      <c r="G765">
        <v>2.5</v>
      </c>
      <c r="H765">
        <v>26182</v>
      </c>
      <c r="I765">
        <v>25217161</v>
      </c>
      <c r="J765">
        <v>3.597</v>
      </c>
      <c r="K765">
        <v>9773</v>
      </c>
      <c r="L765">
        <v>25587668</v>
      </c>
      <c r="M765">
        <v>-191610</v>
      </c>
      <c r="N765">
        <v>562117</v>
      </c>
      <c r="O765">
        <v>178519</v>
      </c>
      <c r="P765">
        <v>169589</v>
      </c>
      <c r="Q765">
        <v>214009</v>
      </c>
      <c r="S765">
        <v>0</v>
      </c>
      <c r="T765">
        <v>48720</v>
      </c>
      <c r="U765">
        <v>4860</v>
      </c>
      <c r="V765">
        <v>4.1415666666000002</v>
      </c>
      <c r="W765">
        <v>3.9982333333</v>
      </c>
      <c r="X765">
        <v>19.807133333300001</v>
      </c>
      <c r="Z765">
        <v>9764.9</v>
      </c>
      <c r="AB765">
        <v>9781.7800000000007</v>
      </c>
      <c r="AD765">
        <v>9773.89</v>
      </c>
      <c r="AF765" t="s">
        <v>182</v>
      </c>
      <c r="AG765" t="s">
        <v>185</v>
      </c>
      <c r="AI765" t="s">
        <v>186</v>
      </c>
      <c r="AJ765" t="s">
        <v>2463</v>
      </c>
      <c r="AK765" t="s">
        <v>188</v>
      </c>
    </row>
    <row r="766" spans="1:37" x14ac:dyDescent="0.3">
      <c r="A766">
        <v>8008</v>
      </c>
      <c r="B766" s="207">
        <v>46121</v>
      </c>
      <c r="C766" t="s">
        <v>438</v>
      </c>
      <c r="D766" t="s">
        <v>2464</v>
      </c>
      <c r="E766" t="s">
        <v>2465</v>
      </c>
      <c r="F766" s="207">
        <v>47664</v>
      </c>
      <c r="G766">
        <v>2.5</v>
      </c>
      <c r="H766">
        <v>20400</v>
      </c>
      <c r="I766">
        <v>19624922</v>
      </c>
      <c r="J766">
        <v>3.6059999999999999</v>
      </c>
      <c r="K766">
        <v>9741</v>
      </c>
      <c r="L766">
        <v>19871640</v>
      </c>
      <c r="M766">
        <v>-149013</v>
      </c>
      <c r="N766">
        <v>395731</v>
      </c>
      <c r="O766">
        <v>138813</v>
      </c>
      <c r="P766">
        <v>12424</v>
      </c>
      <c r="Q766">
        <v>244494</v>
      </c>
      <c r="S766">
        <v>0</v>
      </c>
      <c r="T766">
        <v>21160</v>
      </c>
      <c r="U766">
        <v>2110</v>
      </c>
      <c r="V766">
        <v>4.2237666666000004</v>
      </c>
      <c r="W766">
        <v>4.0778666666000003</v>
      </c>
      <c r="X766">
        <v>20.509933333300001</v>
      </c>
      <c r="Z766">
        <v>9732.91</v>
      </c>
      <c r="AB766">
        <v>9748.8799999999992</v>
      </c>
      <c r="AD766">
        <v>9742.0499999999993</v>
      </c>
      <c r="AF766" t="s">
        <v>182</v>
      </c>
      <c r="AG766" t="s">
        <v>185</v>
      </c>
      <c r="AI766" t="s">
        <v>186</v>
      </c>
      <c r="AJ766" t="s">
        <v>2466</v>
      </c>
      <c r="AK766" t="s">
        <v>188</v>
      </c>
    </row>
    <row r="767" spans="1:37" x14ac:dyDescent="0.3">
      <c r="A767">
        <v>8008</v>
      </c>
      <c r="B767" s="207">
        <v>46121</v>
      </c>
      <c r="C767" t="s">
        <v>438</v>
      </c>
      <c r="D767" t="s">
        <v>2467</v>
      </c>
      <c r="E767" t="s">
        <v>2468</v>
      </c>
      <c r="F767" s="207">
        <v>47787</v>
      </c>
      <c r="G767">
        <v>2</v>
      </c>
      <c r="H767">
        <v>1390</v>
      </c>
      <c r="I767">
        <v>1299415</v>
      </c>
      <c r="J767">
        <v>3.6419999999999999</v>
      </c>
      <c r="K767">
        <v>9377</v>
      </c>
      <c r="L767">
        <v>1303403</v>
      </c>
      <c r="M767">
        <v>-8206</v>
      </c>
      <c r="N767">
        <v>12194</v>
      </c>
      <c r="O767">
        <v>7511</v>
      </c>
      <c r="P767">
        <v>454</v>
      </c>
      <c r="Q767">
        <v>4229</v>
      </c>
      <c r="S767">
        <v>0</v>
      </c>
      <c r="T767">
        <v>1110</v>
      </c>
      <c r="U767">
        <v>110</v>
      </c>
      <c r="V767">
        <v>4.5606999999999998</v>
      </c>
      <c r="W767">
        <v>4.4024333333000003</v>
      </c>
      <c r="X767">
        <v>23.5527666666</v>
      </c>
      <c r="Z767">
        <v>9371.44</v>
      </c>
      <c r="AB767">
        <v>9381.6299999999992</v>
      </c>
      <c r="AD767">
        <v>9379.2900000000009</v>
      </c>
      <c r="AF767" t="s">
        <v>182</v>
      </c>
      <c r="AG767" t="s">
        <v>185</v>
      </c>
      <c r="AI767" t="s">
        <v>186</v>
      </c>
      <c r="AJ767" t="s">
        <v>2469</v>
      </c>
      <c r="AK767" t="s">
        <v>188</v>
      </c>
    </row>
    <row r="768" spans="1:37" x14ac:dyDescent="0.3">
      <c r="A768">
        <v>8008</v>
      </c>
      <c r="B768" s="207">
        <v>46121</v>
      </c>
      <c r="C768" t="s">
        <v>438</v>
      </c>
      <c r="D768" t="s">
        <v>2470</v>
      </c>
      <c r="E768" t="s">
        <v>2471</v>
      </c>
      <c r="F768" s="207">
        <v>47817</v>
      </c>
      <c r="G768">
        <v>2</v>
      </c>
      <c r="H768">
        <v>1426</v>
      </c>
      <c r="I768">
        <v>1330524</v>
      </c>
      <c r="J768">
        <v>3.6509999999999998</v>
      </c>
      <c r="K768">
        <v>9345</v>
      </c>
      <c r="L768">
        <v>1332596</v>
      </c>
      <c r="M768">
        <v>-8098</v>
      </c>
      <c r="N768">
        <v>10170</v>
      </c>
      <c r="O768">
        <v>7691</v>
      </c>
      <c r="P768">
        <v>166</v>
      </c>
      <c r="Q768">
        <v>2313</v>
      </c>
      <c r="S768">
        <v>0</v>
      </c>
      <c r="T768">
        <v>1090</v>
      </c>
      <c r="U768">
        <v>100</v>
      </c>
      <c r="V768">
        <v>4.6429</v>
      </c>
      <c r="W768">
        <v>4.4810999999999996</v>
      </c>
      <c r="X768">
        <v>24.332899999999999</v>
      </c>
      <c r="Z768">
        <v>9339.73</v>
      </c>
      <c r="AB768">
        <v>9349.64</v>
      </c>
      <c r="AD768">
        <v>9348.5400000000009</v>
      </c>
      <c r="AF768" t="s">
        <v>182</v>
      </c>
      <c r="AG768" t="s">
        <v>185</v>
      </c>
      <c r="AI768" t="s">
        <v>186</v>
      </c>
      <c r="AJ768" t="s">
        <v>2472</v>
      </c>
      <c r="AK768" t="s">
        <v>188</v>
      </c>
    </row>
    <row r="769" spans="1:37" x14ac:dyDescent="0.3">
      <c r="A769">
        <v>8008</v>
      </c>
      <c r="B769" s="207">
        <v>46121</v>
      </c>
      <c r="C769" t="s">
        <v>438</v>
      </c>
      <c r="D769" t="s">
        <v>2473</v>
      </c>
      <c r="E769" t="s">
        <v>2474</v>
      </c>
      <c r="F769" s="207">
        <v>47848</v>
      </c>
      <c r="G769">
        <v>2</v>
      </c>
      <c r="H769">
        <v>63277</v>
      </c>
      <c r="I769">
        <v>58431247</v>
      </c>
      <c r="J769">
        <v>3.661</v>
      </c>
      <c r="K769">
        <v>9313</v>
      </c>
      <c r="L769">
        <v>58929870</v>
      </c>
      <c r="M769">
        <v>154389</v>
      </c>
      <c r="N769">
        <v>344234</v>
      </c>
      <c r="O769">
        <v>242407</v>
      </c>
      <c r="P769">
        <v>0</v>
      </c>
      <c r="Q769">
        <v>101827</v>
      </c>
      <c r="S769">
        <v>0</v>
      </c>
      <c r="T769">
        <v>33920</v>
      </c>
      <c r="U769">
        <v>3380</v>
      </c>
      <c r="V769">
        <v>4.7278666665999998</v>
      </c>
      <c r="W769">
        <v>4.5622333333</v>
      </c>
      <c r="X769">
        <v>25.154666666600001</v>
      </c>
      <c r="Z769">
        <v>9307.58</v>
      </c>
      <c r="AB769">
        <v>9316.77</v>
      </c>
      <c r="AD769">
        <v>9316.51</v>
      </c>
      <c r="AF769" t="s">
        <v>182</v>
      </c>
      <c r="AG769" t="s">
        <v>185</v>
      </c>
      <c r="AI769" t="s">
        <v>186</v>
      </c>
      <c r="AJ769" t="s">
        <v>2475</v>
      </c>
      <c r="AK769" t="s">
        <v>188</v>
      </c>
    </row>
    <row r="770" spans="1:37" x14ac:dyDescent="0.3">
      <c r="A770">
        <v>8008</v>
      </c>
      <c r="B770" s="207">
        <v>46121</v>
      </c>
      <c r="C770" t="s">
        <v>438</v>
      </c>
      <c r="D770" t="s">
        <v>2476</v>
      </c>
      <c r="E770" t="s">
        <v>2477</v>
      </c>
      <c r="F770" s="207">
        <v>47879</v>
      </c>
      <c r="G770">
        <v>2</v>
      </c>
      <c r="H770">
        <v>4827</v>
      </c>
      <c r="I770">
        <v>4469584</v>
      </c>
      <c r="J770">
        <v>3.6709999999999998</v>
      </c>
      <c r="K770">
        <v>9281</v>
      </c>
      <c r="L770">
        <v>4479938</v>
      </c>
      <c r="M770">
        <v>-7749</v>
      </c>
      <c r="N770">
        <v>18103</v>
      </c>
      <c r="O770">
        <v>11142</v>
      </c>
      <c r="P770">
        <v>0</v>
      </c>
      <c r="Q770">
        <v>6961</v>
      </c>
      <c r="S770">
        <v>0</v>
      </c>
      <c r="T770">
        <v>1550</v>
      </c>
      <c r="U770">
        <v>150</v>
      </c>
      <c r="V770">
        <v>4.8128000000000002</v>
      </c>
      <c r="W770">
        <v>4.6432000000000002</v>
      </c>
      <c r="X770">
        <v>25.9916666666</v>
      </c>
      <c r="Z770">
        <v>9274.6299999999992</v>
      </c>
      <c r="AB770">
        <v>9283.5</v>
      </c>
      <c r="AD770">
        <v>9284.98</v>
      </c>
      <c r="AF770" t="s">
        <v>182</v>
      </c>
      <c r="AG770" t="s">
        <v>185</v>
      </c>
      <c r="AI770" t="s">
        <v>186</v>
      </c>
      <c r="AJ770" t="s">
        <v>2478</v>
      </c>
      <c r="AK770" t="s">
        <v>188</v>
      </c>
    </row>
    <row r="771" spans="1:37" x14ac:dyDescent="0.3">
      <c r="A771">
        <v>8008</v>
      </c>
      <c r="B771" s="207">
        <v>46121</v>
      </c>
      <c r="C771" t="s">
        <v>438</v>
      </c>
      <c r="D771" t="s">
        <v>2479</v>
      </c>
      <c r="E771" t="s">
        <v>2480</v>
      </c>
      <c r="F771" s="207">
        <v>47907</v>
      </c>
      <c r="G771">
        <v>2</v>
      </c>
      <c r="H771">
        <v>10105</v>
      </c>
      <c r="I771">
        <v>9156286</v>
      </c>
      <c r="J771">
        <v>3.681</v>
      </c>
      <c r="K771">
        <v>9251</v>
      </c>
      <c r="L771">
        <v>9348135</v>
      </c>
      <c r="M771">
        <v>169347</v>
      </c>
      <c r="N771">
        <v>22502</v>
      </c>
      <c r="O771">
        <v>5599</v>
      </c>
      <c r="P771">
        <v>0</v>
      </c>
      <c r="Q771">
        <v>16903</v>
      </c>
      <c r="S771">
        <v>0</v>
      </c>
      <c r="T771">
        <v>780</v>
      </c>
      <c r="U771">
        <v>70</v>
      </c>
      <c r="V771">
        <v>4.8895</v>
      </c>
      <c r="W771">
        <v>4.7161333333000002</v>
      </c>
      <c r="X771">
        <v>26.7605333333</v>
      </c>
      <c r="Z771">
        <v>9244</v>
      </c>
      <c r="AB771">
        <v>9253.84</v>
      </c>
      <c r="AD771">
        <v>9256.2199999999993</v>
      </c>
      <c r="AF771" t="s">
        <v>182</v>
      </c>
      <c r="AG771" t="s">
        <v>185</v>
      </c>
      <c r="AI771" t="s">
        <v>186</v>
      </c>
      <c r="AJ771" t="s">
        <v>2481</v>
      </c>
      <c r="AK771" t="s">
        <v>188</v>
      </c>
    </row>
    <row r="772" spans="1:37" x14ac:dyDescent="0.3">
      <c r="A772">
        <v>8008</v>
      </c>
      <c r="B772" s="207">
        <v>46121</v>
      </c>
      <c r="C772" t="s">
        <v>438</v>
      </c>
      <c r="D772" t="s">
        <v>2482</v>
      </c>
      <c r="E772" t="s">
        <v>2483</v>
      </c>
      <c r="F772" s="207">
        <v>47968</v>
      </c>
      <c r="G772">
        <v>2</v>
      </c>
      <c r="H772">
        <v>243807</v>
      </c>
      <c r="I772">
        <v>221565975</v>
      </c>
      <c r="J772">
        <v>3.7010000000000001</v>
      </c>
      <c r="K772">
        <v>9187</v>
      </c>
      <c r="L772">
        <v>223985489</v>
      </c>
      <c r="M772">
        <v>2419514</v>
      </c>
      <c r="N772">
        <v>0</v>
      </c>
      <c r="O772">
        <v>0</v>
      </c>
      <c r="P772">
        <v>0</v>
      </c>
      <c r="Q772">
        <v>0</v>
      </c>
      <c r="S772">
        <v>0</v>
      </c>
      <c r="T772">
        <v>0</v>
      </c>
      <c r="U772">
        <v>0</v>
      </c>
      <c r="V772">
        <v>5.0566000000000004</v>
      </c>
      <c r="W772">
        <v>4.8758666666000003</v>
      </c>
      <c r="X772">
        <v>28.459566666600001</v>
      </c>
      <c r="Z772">
        <v>9177.61</v>
      </c>
      <c r="AB772">
        <v>9189.0300000000007</v>
      </c>
      <c r="AD772">
        <v>9195.08</v>
      </c>
      <c r="AF772" t="s">
        <v>182</v>
      </c>
      <c r="AG772" t="s">
        <v>185</v>
      </c>
      <c r="AI772" t="s">
        <v>186</v>
      </c>
      <c r="AJ772" t="s">
        <v>2484</v>
      </c>
      <c r="AK772" t="s">
        <v>188</v>
      </c>
    </row>
    <row r="773" spans="1:37" x14ac:dyDescent="0.3">
      <c r="A773">
        <v>8008</v>
      </c>
      <c r="B773" s="207">
        <v>46121</v>
      </c>
      <c r="C773" t="s">
        <v>438</v>
      </c>
      <c r="D773" t="s">
        <v>2485</v>
      </c>
      <c r="E773" t="s">
        <v>2486</v>
      </c>
      <c r="F773" s="207">
        <v>47238</v>
      </c>
      <c r="G773">
        <v>2.5</v>
      </c>
      <c r="H773">
        <v>480</v>
      </c>
      <c r="I773">
        <v>468528</v>
      </c>
      <c r="J773">
        <v>3.552</v>
      </c>
      <c r="K773">
        <v>10169</v>
      </c>
      <c r="L773">
        <v>488112</v>
      </c>
      <c r="M773">
        <v>-4034</v>
      </c>
      <c r="N773">
        <v>23618</v>
      </c>
      <c r="O773">
        <v>5522</v>
      </c>
      <c r="P773">
        <v>0</v>
      </c>
      <c r="Q773">
        <v>18096</v>
      </c>
      <c r="S773">
        <v>0</v>
      </c>
      <c r="T773">
        <v>770</v>
      </c>
      <c r="U773">
        <v>70</v>
      </c>
      <c r="V773">
        <v>3.0566</v>
      </c>
      <c r="W773">
        <v>2.9514999999999998</v>
      </c>
      <c r="X773">
        <v>11.544766666599999</v>
      </c>
      <c r="Z773">
        <v>10169.42</v>
      </c>
      <c r="AB773">
        <v>10170.39</v>
      </c>
      <c r="AD773">
        <v>10167.92</v>
      </c>
      <c r="AF773" t="s">
        <v>182</v>
      </c>
      <c r="AG773" t="s">
        <v>185</v>
      </c>
      <c r="AI773" t="s">
        <v>186</v>
      </c>
      <c r="AJ773" t="s">
        <v>2487</v>
      </c>
      <c r="AK773" t="s">
        <v>188</v>
      </c>
    </row>
    <row r="774" spans="1:37" x14ac:dyDescent="0.3">
      <c r="A774">
        <v>8008</v>
      </c>
      <c r="B774" s="207">
        <v>46121</v>
      </c>
      <c r="C774" t="s">
        <v>438</v>
      </c>
      <c r="D774" t="s">
        <v>2488</v>
      </c>
      <c r="E774" t="s">
        <v>2489</v>
      </c>
      <c r="F774" s="207">
        <v>47299</v>
      </c>
      <c r="G774">
        <v>2.5</v>
      </c>
      <c r="H774">
        <v>39308</v>
      </c>
      <c r="I774">
        <v>38271725</v>
      </c>
      <c r="J774">
        <v>3.5569999999999999</v>
      </c>
      <c r="K774">
        <v>10107</v>
      </c>
      <c r="L774">
        <v>39728594</v>
      </c>
      <c r="M774">
        <v>-307414</v>
      </c>
      <c r="N774">
        <v>1764283</v>
      </c>
      <c r="O774">
        <v>273475</v>
      </c>
      <c r="P774">
        <v>458518</v>
      </c>
      <c r="Q774">
        <v>1032290</v>
      </c>
      <c r="S774">
        <v>0</v>
      </c>
      <c r="T774">
        <v>102460</v>
      </c>
      <c r="U774">
        <v>10230</v>
      </c>
      <c r="V774">
        <v>3.2237666666</v>
      </c>
      <c r="W774">
        <v>3.1140666665999999</v>
      </c>
      <c r="X774">
        <v>12.649900000000001</v>
      </c>
      <c r="Z774">
        <v>10107.32</v>
      </c>
      <c r="AB774">
        <v>10109.91</v>
      </c>
      <c r="AD774">
        <v>10106.370000000001</v>
      </c>
      <c r="AF774" t="s">
        <v>182</v>
      </c>
      <c r="AG774" t="s">
        <v>185</v>
      </c>
      <c r="AI774" t="s">
        <v>186</v>
      </c>
      <c r="AJ774" t="s">
        <v>2490</v>
      </c>
      <c r="AK774" t="s">
        <v>188</v>
      </c>
    </row>
    <row r="775" spans="1:37" x14ac:dyDescent="0.3">
      <c r="A775">
        <v>8008</v>
      </c>
      <c r="B775" s="207">
        <v>46121</v>
      </c>
      <c r="C775" t="s">
        <v>438</v>
      </c>
      <c r="D775" t="s">
        <v>2491</v>
      </c>
      <c r="E775" t="s">
        <v>2492</v>
      </c>
      <c r="F775" s="207">
        <v>47330</v>
      </c>
      <c r="G775">
        <v>2.5</v>
      </c>
      <c r="H775">
        <v>15904</v>
      </c>
      <c r="I775">
        <v>15481998</v>
      </c>
      <c r="J775">
        <v>3.5590000000000002</v>
      </c>
      <c r="K775">
        <v>10077</v>
      </c>
      <c r="L775">
        <v>16026459</v>
      </c>
      <c r="M775">
        <v>-134551</v>
      </c>
      <c r="N775">
        <v>679012</v>
      </c>
      <c r="O775">
        <v>110694</v>
      </c>
      <c r="P775">
        <v>414421</v>
      </c>
      <c r="Q775">
        <v>153897</v>
      </c>
      <c r="S775">
        <v>0</v>
      </c>
      <c r="T775">
        <v>73480</v>
      </c>
      <c r="U775">
        <v>7330</v>
      </c>
      <c r="V775">
        <v>3.3086666666000002</v>
      </c>
      <c r="W775">
        <v>3.1964999999999999</v>
      </c>
      <c r="X775">
        <v>13.2372</v>
      </c>
      <c r="Z775">
        <v>10076.129999999999</v>
      </c>
      <c r="AB775">
        <v>10079.75</v>
      </c>
      <c r="AD775">
        <v>10075.48</v>
      </c>
      <c r="AF775" t="s">
        <v>182</v>
      </c>
      <c r="AG775" t="s">
        <v>185</v>
      </c>
      <c r="AI775" t="s">
        <v>186</v>
      </c>
      <c r="AJ775" t="s">
        <v>2493</v>
      </c>
      <c r="AK775" t="s">
        <v>188</v>
      </c>
    </row>
    <row r="776" spans="1:37" x14ac:dyDescent="0.3">
      <c r="A776">
        <v>8008</v>
      </c>
      <c r="B776" s="207">
        <v>46121</v>
      </c>
      <c r="C776" t="s">
        <v>438</v>
      </c>
      <c r="D776" t="s">
        <v>2494</v>
      </c>
      <c r="E776" t="s">
        <v>2495</v>
      </c>
      <c r="F776" s="207">
        <v>47361</v>
      </c>
      <c r="G776">
        <v>2.5</v>
      </c>
      <c r="H776">
        <v>7581</v>
      </c>
      <c r="I776">
        <v>7372790</v>
      </c>
      <c r="J776">
        <v>3.5609999999999999</v>
      </c>
      <c r="K776">
        <v>10046</v>
      </c>
      <c r="L776">
        <v>7615872</v>
      </c>
      <c r="M776">
        <v>-64024</v>
      </c>
      <c r="N776">
        <v>307106</v>
      </c>
      <c r="O776">
        <v>52653</v>
      </c>
      <c r="P776">
        <v>142625</v>
      </c>
      <c r="Q776">
        <v>111828</v>
      </c>
      <c r="S776">
        <v>0</v>
      </c>
      <c r="T776">
        <v>27320</v>
      </c>
      <c r="U776">
        <v>2730</v>
      </c>
      <c r="V776">
        <v>3.3936000000000002</v>
      </c>
      <c r="W776">
        <v>3.2787333332999999</v>
      </c>
      <c r="X776">
        <v>13.8414</v>
      </c>
      <c r="Z776">
        <v>10045.07</v>
      </c>
      <c r="AB776">
        <v>10049.43</v>
      </c>
      <c r="AD776">
        <v>10044.74</v>
      </c>
      <c r="AF776" t="s">
        <v>182</v>
      </c>
      <c r="AG776" t="s">
        <v>185</v>
      </c>
      <c r="AI776" t="s">
        <v>186</v>
      </c>
      <c r="AJ776" t="s">
        <v>2496</v>
      </c>
      <c r="AK776" t="s">
        <v>188</v>
      </c>
    </row>
    <row r="777" spans="1:37" x14ac:dyDescent="0.3">
      <c r="A777">
        <v>8008</v>
      </c>
      <c r="B777" s="207">
        <v>46121</v>
      </c>
      <c r="C777" t="s">
        <v>438</v>
      </c>
      <c r="D777" t="s">
        <v>2497</v>
      </c>
      <c r="E777" t="s">
        <v>2498</v>
      </c>
      <c r="F777" s="207">
        <v>46203</v>
      </c>
      <c r="G777">
        <v>1.05</v>
      </c>
      <c r="H777">
        <v>3405</v>
      </c>
      <c r="I777">
        <v>3378439</v>
      </c>
      <c r="J777">
        <v>2.69</v>
      </c>
      <c r="K777">
        <v>10473</v>
      </c>
      <c r="L777">
        <v>3566056</v>
      </c>
      <c r="M777">
        <v>13368</v>
      </c>
      <c r="N777">
        <v>174249</v>
      </c>
      <c r="O777">
        <v>10126</v>
      </c>
      <c r="P777">
        <v>7057</v>
      </c>
      <c r="Q777">
        <v>157066</v>
      </c>
      <c r="S777">
        <v>0</v>
      </c>
      <c r="T777">
        <v>2390</v>
      </c>
      <c r="U777">
        <v>230</v>
      </c>
      <c r="V777">
        <v>0.22283333329999999</v>
      </c>
      <c r="W777">
        <v>0.2185</v>
      </c>
      <c r="X777">
        <v>0.2051</v>
      </c>
      <c r="Z777">
        <v>10473.31</v>
      </c>
      <c r="AB777">
        <v>10474.17</v>
      </c>
      <c r="AD777">
        <v>10473.06</v>
      </c>
      <c r="AF777" t="s">
        <v>182</v>
      </c>
      <c r="AG777" t="s">
        <v>185</v>
      </c>
      <c r="AI777" t="s">
        <v>186</v>
      </c>
      <c r="AJ777" t="s">
        <v>2499</v>
      </c>
      <c r="AK777" t="s">
        <v>188</v>
      </c>
    </row>
    <row r="778" spans="1:37" x14ac:dyDescent="0.3">
      <c r="A778">
        <v>8008</v>
      </c>
      <c r="B778" s="207">
        <v>46121</v>
      </c>
      <c r="C778" t="s">
        <v>438</v>
      </c>
      <c r="D778" t="s">
        <v>2500</v>
      </c>
      <c r="E778" t="s">
        <v>2501</v>
      </c>
      <c r="F778" s="207">
        <v>46234</v>
      </c>
      <c r="G778">
        <v>1.05</v>
      </c>
      <c r="H778">
        <v>420</v>
      </c>
      <c r="I778">
        <v>416107</v>
      </c>
      <c r="J778">
        <v>2.7320000000000002</v>
      </c>
      <c r="K778">
        <v>10448</v>
      </c>
      <c r="L778">
        <v>438816</v>
      </c>
      <c r="M778">
        <v>1608</v>
      </c>
      <c r="N778">
        <v>21101</v>
      </c>
      <c r="O778">
        <v>1248</v>
      </c>
      <c r="P778">
        <v>12653</v>
      </c>
      <c r="Q778">
        <v>7200</v>
      </c>
      <c r="S778">
        <v>0</v>
      </c>
      <c r="T778">
        <v>1940</v>
      </c>
      <c r="U778">
        <v>190</v>
      </c>
      <c r="V778">
        <v>0.30773333330000002</v>
      </c>
      <c r="W778">
        <v>0.30143333329999999</v>
      </c>
      <c r="X778">
        <v>0.31636666660000001</v>
      </c>
      <c r="Z778">
        <v>10447.86</v>
      </c>
      <c r="AB778">
        <v>10449.280000000001</v>
      </c>
      <c r="AD778">
        <v>10448.15</v>
      </c>
      <c r="AF778" t="s">
        <v>182</v>
      </c>
      <c r="AG778" t="s">
        <v>185</v>
      </c>
      <c r="AI778" t="s">
        <v>186</v>
      </c>
      <c r="AJ778" t="s">
        <v>2502</v>
      </c>
      <c r="AK778" t="s">
        <v>188</v>
      </c>
    </row>
    <row r="779" spans="1:37" x14ac:dyDescent="0.3">
      <c r="A779">
        <v>8008</v>
      </c>
      <c r="B779" s="207">
        <v>46121</v>
      </c>
      <c r="C779" t="s">
        <v>438</v>
      </c>
      <c r="D779" t="s">
        <v>2503</v>
      </c>
      <c r="E779" t="s">
        <v>2504</v>
      </c>
      <c r="F779" s="207">
        <v>46265</v>
      </c>
      <c r="G779">
        <v>1.05</v>
      </c>
      <c r="H779">
        <v>18910</v>
      </c>
      <c r="I779">
        <v>18708747</v>
      </c>
      <c r="J779">
        <v>2.7730000000000001</v>
      </c>
      <c r="K779">
        <v>10422</v>
      </c>
      <c r="L779">
        <v>19708002</v>
      </c>
      <c r="M779">
        <v>66779</v>
      </c>
      <c r="N779">
        <v>932476</v>
      </c>
      <c r="O779">
        <v>56136</v>
      </c>
      <c r="P779">
        <v>860099</v>
      </c>
      <c r="Q779">
        <v>16241</v>
      </c>
      <c r="S779">
        <v>0</v>
      </c>
      <c r="T779">
        <v>128270</v>
      </c>
      <c r="U779">
        <v>12820</v>
      </c>
      <c r="V779">
        <v>0.39269999999999999</v>
      </c>
      <c r="W779">
        <v>0.38419999999999999</v>
      </c>
      <c r="X779">
        <v>0.44579999999999997</v>
      </c>
      <c r="Z779">
        <v>10421.75</v>
      </c>
      <c r="AB779">
        <v>10423.59</v>
      </c>
      <c r="AD779">
        <v>10423.040000000001</v>
      </c>
      <c r="AF779" t="s">
        <v>182</v>
      </c>
      <c r="AG779" t="s">
        <v>185</v>
      </c>
      <c r="AI779" t="s">
        <v>186</v>
      </c>
      <c r="AJ779" t="s">
        <v>2505</v>
      </c>
      <c r="AK779" t="s">
        <v>188</v>
      </c>
    </row>
    <row r="780" spans="1:37" x14ac:dyDescent="0.3">
      <c r="A780">
        <v>8008</v>
      </c>
      <c r="B780" s="207">
        <v>46121</v>
      </c>
      <c r="C780" t="s">
        <v>438</v>
      </c>
      <c r="D780" t="s">
        <v>2506</v>
      </c>
      <c r="E780" t="s">
        <v>2507</v>
      </c>
      <c r="F780" s="207">
        <v>46295</v>
      </c>
      <c r="G780">
        <v>1.05</v>
      </c>
      <c r="H780">
        <v>1138</v>
      </c>
      <c r="I780">
        <v>1124179</v>
      </c>
      <c r="J780">
        <v>2.81</v>
      </c>
      <c r="K780">
        <v>10397</v>
      </c>
      <c r="L780">
        <v>1183178</v>
      </c>
      <c r="M780">
        <v>3909</v>
      </c>
      <c r="N780">
        <v>55090</v>
      </c>
      <c r="O780">
        <v>3375</v>
      </c>
      <c r="P780">
        <v>48911</v>
      </c>
      <c r="Q780">
        <v>2804</v>
      </c>
      <c r="S780">
        <v>0</v>
      </c>
      <c r="T780">
        <v>7310</v>
      </c>
      <c r="U780">
        <v>720</v>
      </c>
      <c r="V780">
        <v>0.47489999999999999</v>
      </c>
      <c r="W780">
        <v>0.4641666666</v>
      </c>
      <c r="X780">
        <v>0.58816666660000005</v>
      </c>
      <c r="Z780">
        <v>10396.25</v>
      </c>
      <c r="AB780">
        <v>10398.09</v>
      </c>
      <c r="AD780">
        <v>10398.34</v>
      </c>
      <c r="AF780" t="s">
        <v>182</v>
      </c>
      <c r="AG780" t="s">
        <v>185</v>
      </c>
      <c r="AI780" t="s">
        <v>186</v>
      </c>
      <c r="AJ780" t="s">
        <v>2508</v>
      </c>
      <c r="AK780" t="s">
        <v>188</v>
      </c>
    </row>
    <row r="781" spans="1:37" x14ac:dyDescent="0.3">
      <c r="A781">
        <v>8008</v>
      </c>
      <c r="B781" s="207">
        <v>46121</v>
      </c>
      <c r="C781" t="s">
        <v>438</v>
      </c>
      <c r="D781" t="s">
        <v>2509</v>
      </c>
      <c r="E781" t="s">
        <v>2510</v>
      </c>
      <c r="F781" s="207">
        <v>46691</v>
      </c>
      <c r="G781">
        <v>1.05</v>
      </c>
      <c r="H781">
        <v>89210</v>
      </c>
      <c r="I781">
        <v>86206812</v>
      </c>
      <c r="J781">
        <v>3.1850000000000001</v>
      </c>
      <c r="K781">
        <v>10032</v>
      </c>
      <c r="L781">
        <v>89495470</v>
      </c>
      <c r="M781">
        <v>23852</v>
      </c>
      <c r="N781">
        <v>3264806</v>
      </c>
      <c r="O781">
        <v>261618</v>
      </c>
      <c r="P781">
        <v>2929624</v>
      </c>
      <c r="Q781">
        <v>73564</v>
      </c>
      <c r="S781">
        <v>0</v>
      </c>
      <c r="T781">
        <v>446750</v>
      </c>
      <c r="U781">
        <v>44660</v>
      </c>
      <c r="V781">
        <v>1.5598000000000001</v>
      </c>
      <c r="W781">
        <v>1.5141333333</v>
      </c>
      <c r="X781">
        <v>3.6831666666</v>
      </c>
      <c r="Z781">
        <v>10030.370000000001</v>
      </c>
      <c r="AB781">
        <v>10034.459999999999</v>
      </c>
      <c r="AD781">
        <v>10031.74</v>
      </c>
      <c r="AF781" t="s">
        <v>182</v>
      </c>
      <c r="AG781" t="s">
        <v>185</v>
      </c>
      <c r="AI781" t="s">
        <v>186</v>
      </c>
      <c r="AJ781" t="s">
        <v>2511</v>
      </c>
      <c r="AK781" t="s">
        <v>188</v>
      </c>
    </row>
    <row r="782" spans="1:37" x14ac:dyDescent="0.3">
      <c r="A782">
        <v>8008</v>
      </c>
      <c r="B782" s="207">
        <v>46121</v>
      </c>
      <c r="C782" t="s">
        <v>438</v>
      </c>
      <c r="D782" t="s">
        <v>2512</v>
      </c>
      <c r="E782" t="s">
        <v>2513</v>
      </c>
      <c r="F782" s="207">
        <v>46783</v>
      </c>
      <c r="G782">
        <v>2.5</v>
      </c>
      <c r="H782">
        <v>1523</v>
      </c>
      <c r="I782">
        <v>1508217</v>
      </c>
      <c r="J782">
        <v>3.25</v>
      </c>
      <c r="K782">
        <v>10676</v>
      </c>
      <c r="L782">
        <v>1625954</v>
      </c>
      <c r="M782">
        <v>-7040</v>
      </c>
      <c r="N782">
        <v>124777</v>
      </c>
      <c r="O782">
        <v>10999</v>
      </c>
      <c r="P782">
        <v>38587</v>
      </c>
      <c r="Q782">
        <v>75191</v>
      </c>
      <c r="S782">
        <v>0</v>
      </c>
      <c r="T782">
        <v>6940</v>
      </c>
      <c r="U782">
        <v>680</v>
      </c>
      <c r="V782">
        <v>1.8119000000000001</v>
      </c>
      <c r="W782">
        <v>1.7564333333</v>
      </c>
      <c r="X782">
        <v>4.7390333333000001</v>
      </c>
      <c r="Z782">
        <v>10673.66</v>
      </c>
      <c r="AB782">
        <v>10680.12</v>
      </c>
      <c r="AD782">
        <v>10675.72</v>
      </c>
      <c r="AF782" t="s">
        <v>182</v>
      </c>
      <c r="AG782" t="s">
        <v>185</v>
      </c>
      <c r="AI782" t="s">
        <v>186</v>
      </c>
      <c r="AJ782" t="s">
        <v>2514</v>
      </c>
      <c r="AK782" t="s">
        <v>188</v>
      </c>
    </row>
    <row r="783" spans="1:37" x14ac:dyDescent="0.3">
      <c r="A783">
        <v>8008</v>
      </c>
      <c r="B783" s="207">
        <v>46121</v>
      </c>
      <c r="C783" t="s">
        <v>438</v>
      </c>
      <c r="D783" t="s">
        <v>2515</v>
      </c>
      <c r="E783" t="s">
        <v>2516</v>
      </c>
      <c r="F783" s="207">
        <v>46812</v>
      </c>
      <c r="G783">
        <v>2.5</v>
      </c>
      <c r="H783">
        <v>690</v>
      </c>
      <c r="I783">
        <v>682705</v>
      </c>
      <c r="J783">
        <v>3.2709999999999999</v>
      </c>
      <c r="K783">
        <v>10646</v>
      </c>
      <c r="L783">
        <v>734574</v>
      </c>
      <c r="M783">
        <v>-3249</v>
      </c>
      <c r="N783">
        <v>55118</v>
      </c>
      <c r="O783">
        <v>4974</v>
      </c>
      <c r="P783">
        <v>150</v>
      </c>
      <c r="Q783">
        <v>49994</v>
      </c>
      <c r="S783">
        <v>0</v>
      </c>
      <c r="T783">
        <v>710</v>
      </c>
      <c r="U783">
        <v>70</v>
      </c>
      <c r="V783">
        <v>1.8895</v>
      </c>
      <c r="W783">
        <v>1.8297666666000001</v>
      </c>
      <c r="X783">
        <v>5.0894666665999999</v>
      </c>
      <c r="Z783">
        <v>10643</v>
      </c>
      <c r="AB783">
        <v>10650.68</v>
      </c>
      <c r="AD783">
        <v>10645.73</v>
      </c>
      <c r="AF783" t="s">
        <v>182</v>
      </c>
      <c r="AG783" t="s">
        <v>185</v>
      </c>
      <c r="AI783" t="s">
        <v>186</v>
      </c>
      <c r="AJ783" t="s">
        <v>2517</v>
      </c>
      <c r="AK783" t="s">
        <v>188</v>
      </c>
    </row>
    <row r="784" spans="1:37" x14ac:dyDescent="0.3">
      <c r="A784">
        <v>8008</v>
      </c>
      <c r="B784" s="207">
        <v>46121</v>
      </c>
      <c r="C784" t="s">
        <v>438</v>
      </c>
      <c r="D784" t="s">
        <v>2518</v>
      </c>
      <c r="E784" t="s">
        <v>2519</v>
      </c>
      <c r="F784" s="207">
        <v>46326</v>
      </c>
      <c r="G784">
        <v>1.05</v>
      </c>
      <c r="H784">
        <v>37985</v>
      </c>
      <c r="I784">
        <v>37471529</v>
      </c>
      <c r="J784">
        <v>2.835</v>
      </c>
      <c r="K784">
        <v>10371</v>
      </c>
      <c r="L784">
        <v>39394242</v>
      </c>
      <c r="M784">
        <v>119142</v>
      </c>
      <c r="N784">
        <v>1803571</v>
      </c>
      <c r="O784">
        <v>112565</v>
      </c>
      <c r="P784">
        <v>1659450</v>
      </c>
      <c r="Q784">
        <v>31556</v>
      </c>
      <c r="S784">
        <v>0</v>
      </c>
      <c r="T784">
        <v>248070</v>
      </c>
      <c r="U784">
        <v>24800</v>
      </c>
      <c r="V784">
        <v>0.55979999999999996</v>
      </c>
      <c r="W784">
        <v>0.54663333329999997</v>
      </c>
      <c r="X784">
        <v>0.75286666660000001</v>
      </c>
      <c r="Z784">
        <v>10370.69</v>
      </c>
      <c r="AB784">
        <v>10372.08</v>
      </c>
      <c r="AD784">
        <v>10372.34</v>
      </c>
      <c r="AF784" t="s">
        <v>182</v>
      </c>
      <c r="AG784" t="s">
        <v>185</v>
      </c>
      <c r="AI784" t="s">
        <v>186</v>
      </c>
      <c r="AJ784" t="s">
        <v>2520</v>
      </c>
      <c r="AK784" t="s">
        <v>188</v>
      </c>
    </row>
    <row r="785" spans="1:37" x14ac:dyDescent="0.3">
      <c r="A785">
        <v>8008</v>
      </c>
      <c r="B785" s="207">
        <v>46121</v>
      </c>
      <c r="C785" t="s">
        <v>438</v>
      </c>
      <c r="D785" t="s">
        <v>2521</v>
      </c>
      <c r="E785" t="s">
        <v>2522</v>
      </c>
      <c r="F785" s="207">
        <v>46356</v>
      </c>
      <c r="G785">
        <v>1.05</v>
      </c>
      <c r="H785">
        <v>8720</v>
      </c>
      <c r="I785">
        <v>8589014</v>
      </c>
      <c r="J785">
        <v>2.8540000000000001</v>
      </c>
      <c r="K785">
        <v>10346</v>
      </c>
      <c r="L785">
        <v>9021712</v>
      </c>
      <c r="M785">
        <v>26501</v>
      </c>
      <c r="N785">
        <v>406197</v>
      </c>
      <c r="O785">
        <v>25819</v>
      </c>
      <c r="P785">
        <v>372888</v>
      </c>
      <c r="Q785">
        <v>7490</v>
      </c>
      <c r="S785">
        <v>0</v>
      </c>
      <c r="T785">
        <v>55810</v>
      </c>
      <c r="U785">
        <v>5580</v>
      </c>
      <c r="V785">
        <v>0.64200000000000002</v>
      </c>
      <c r="W785">
        <v>0.62626666659999997</v>
      </c>
      <c r="X785">
        <v>0.92920000000000003</v>
      </c>
      <c r="Z785">
        <v>10346.290000000001</v>
      </c>
      <c r="AB785">
        <v>10347.15</v>
      </c>
      <c r="AD785">
        <v>10346.75</v>
      </c>
      <c r="AF785" t="s">
        <v>182</v>
      </c>
      <c r="AG785" t="s">
        <v>185</v>
      </c>
      <c r="AI785" t="s">
        <v>186</v>
      </c>
      <c r="AJ785" t="s">
        <v>2523</v>
      </c>
      <c r="AK785" t="s">
        <v>188</v>
      </c>
    </row>
    <row r="786" spans="1:37" x14ac:dyDescent="0.3">
      <c r="A786">
        <v>8008</v>
      </c>
      <c r="B786" s="207">
        <v>46121</v>
      </c>
      <c r="C786" t="s">
        <v>438</v>
      </c>
      <c r="D786" t="s">
        <v>2524</v>
      </c>
      <c r="E786" t="s">
        <v>2525</v>
      </c>
      <c r="F786" s="207">
        <v>46387</v>
      </c>
      <c r="G786">
        <v>1.05</v>
      </c>
      <c r="H786">
        <v>595</v>
      </c>
      <c r="I786">
        <v>585185</v>
      </c>
      <c r="J786">
        <v>2.879</v>
      </c>
      <c r="K786">
        <v>10320</v>
      </c>
      <c r="L786">
        <v>614040</v>
      </c>
      <c r="M786">
        <v>1691</v>
      </c>
      <c r="N786">
        <v>27164</v>
      </c>
      <c r="O786">
        <v>1760</v>
      </c>
      <c r="P786">
        <v>13139</v>
      </c>
      <c r="Q786">
        <v>12265</v>
      </c>
      <c r="S786">
        <v>0</v>
      </c>
      <c r="T786">
        <v>2080</v>
      </c>
      <c r="U786">
        <v>200</v>
      </c>
      <c r="V786">
        <v>0.72693333329999998</v>
      </c>
      <c r="W786">
        <v>0.70840000000000003</v>
      </c>
      <c r="X786">
        <v>1.1285666666</v>
      </c>
      <c r="Z786">
        <v>10319.76</v>
      </c>
      <c r="AB786">
        <v>10321.15</v>
      </c>
      <c r="AD786">
        <v>10319.91</v>
      </c>
      <c r="AF786" t="s">
        <v>182</v>
      </c>
      <c r="AG786" t="s">
        <v>185</v>
      </c>
      <c r="AI786" t="s">
        <v>186</v>
      </c>
      <c r="AJ786" t="s">
        <v>2526</v>
      </c>
      <c r="AK786" t="s">
        <v>188</v>
      </c>
    </row>
    <row r="787" spans="1:37" x14ac:dyDescent="0.3">
      <c r="A787">
        <v>8008</v>
      </c>
      <c r="B787" s="207">
        <v>46121</v>
      </c>
      <c r="C787" t="s">
        <v>438</v>
      </c>
      <c r="D787" t="s">
        <v>2527</v>
      </c>
      <c r="E787" t="s">
        <v>2528</v>
      </c>
      <c r="F787" s="207">
        <v>46418</v>
      </c>
      <c r="G787">
        <v>1.05</v>
      </c>
      <c r="H787">
        <v>100</v>
      </c>
      <c r="I787">
        <v>95843</v>
      </c>
      <c r="J787">
        <v>2.915</v>
      </c>
      <c r="K787">
        <v>10292</v>
      </c>
      <c r="L787">
        <v>102920</v>
      </c>
      <c r="M787">
        <v>2605</v>
      </c>
      <c r="N787">
        <v>4472</v>
      </c>
      <c r="O787">
        <v>75</v>
      </c>
      <c r="P787">
        <v>0</v>
      </c>
      <c r="Q787">
        <v>4397</v>
      </c>
      <c r="S787">
        <v>0</v>
      </c>
      <c r="T787">
        <v>10</v>
      </c>
      <c r="U787">
        <v>0</v>
      </c>
      <c r="V787">
        <v>0.81189999999999996</v>
      </c>
      <c r="W787">
        <v>0.7903</v>
      </c>
      <c r="X787">
        <v>1.3450666666</v>
      </c>
      <c r="Z787">
        <v>10292.44</v>
      </c>
      <c r="AB787">
        <v>10293.469999999999</v>
      </c>
      <c r="AD787">
        <v>10292.27</v>
      </c>
      <c r="AF787" t="s">
        <v>182</v>
      </c>
      <c r="AG787" t="s">
        <v>185</v>
      </c>
      <c r="AI787" t="s">
        <v>186</v>
      </c>
      <c r="AJ787" t="s">
        <v>2529</v>
      </c>
      <c r="AK787" t="s">
        <v>188</v>
      </c>
    </row>
    <row r="788" spans="1:37" x14ac:dyDescent="0.3">
      <c r="A788">
        <v>8008</v>
      </c>
      <c r="B788" s="207">
        <v>46121</v>
      </c>
      <c r="C788" t="s">
        <v>438</v>
      </c>
      <c r="D788" t="s">
        <v>2530</v>
      </c>
      <c r="E788" t="s">
        <v>2531</v>
      </c>
      <c r="F788" s="207">
        <v>46446</v>
      </c>
      <c r="G788">
        <v>1.05</v>
      </c>
      <c r="H788">
        <v>4676</v>
      </c>
      <c r="I788">
        <v>4583710</v>
      </c>
      <c r="J788">
        <v>2.9510000000000001</v>
      </c>
      <c r="K788">
        <v>10267</v>
      </c>
      <c r="L788">
        <v>4800849</v>
      </c>
      <c r="M788">
        <v>11910</v>
      </c>
      <c r="N788">
        <v>205229</v>
      </c>
      <c r="O788">
        <v>13808</v>
      </c>
      <c r="P788">
        <v>95442</v>
      </c>
      <c r="Q788">
        <v>95979</v>
      </c>
      <c r="S788">
        <v>0</v>
      </c>
      <c r="T788">
        <v>15280</v>
      </c>
      <c r="U788">
        <v>1520</v>
      </c>
      <c r="V788">
        <v>0.88859999999999995</v>
      </c>
      <c r="W788">
        <v>0.86403333329999998</v>
      </c>
      <c r="X788">
        <v>1.5551999999999999</v>
      </c>
      <c r="Z788">
        <v>10266.959999999999</v>
      </c>
      <c r="AB788">
        <v>10267.450000000001</v>
      </c>
      <c r="AD788">
        <v>10266.780000000001</v>
      </c>
      <c r="AF788" t="s">
        <v>182</v>
      </c>
      <c r="AG788" t="s">
        <v>185</v>
      </c>
      <c r="AI788" t="s">
        <v>186</v>
      </c>
      <c r="AJ788" t="s">
        <v>2532</v>
      </c>
      <c r="AK788" t="s">
        <v>188</v>
      </c>
    </row>
    <row r="789" spans="1:37" x14ac:dyDescent="0.3">
      <c r="A789">
        <v>8008</v>
      </c>
      <c r="B789" s="207">
        <v>46121</v>
      </c>
      <c r="C789" t="s">
        <v>438</v>
      </c>
      <c r="D789" t="s">
        <v>2533</v>
      </c>
      <c r="E789" t="s">
        <v>2534</v>
      </c>
      <c r="F789" s="207">
        <v>46477</v>
      </c>
      <c r="G789">
        <v>1.05</v>
      </c>
      <c r="H789">
        <v>11290</v>
      </c>
      <c r="I789">
        <v>11048237</v>
      </c>
      <c r="J789">
        <v>2.9889999999999999</v>
      </c>
      <c r="K789">
        <v>10238</v>
      </c>
      <c r="L789">
        <v>11558702</v>
      </c>
      <c r="M789">
        <v>25396</v>
      </c>
      <c r="N789">
        <v>485069</v>
      </c>
      <c r="O789">
        <v>33312</v>
      </c>
      <c r="P789">
        <v>1008</v>
      </c>
      <c r="Q789">
        <v>450749</v>
      </c>
      <c r="S789">
        <v>0</v>
      </c>
      <c r="T789">
        <v>4800</v>
      </c>
      <c r="U789">
        <v>480</v>
      </c>
      <c r="V789">
        <v>0.97350000000000003</v>
      </c>
      <c r="W789">
        <v>0.94550000000000001</v>
      </c>
      <c r="X789">
        <v>1.8039000000000001</v>
      </c>
      <c r="Z789">
        <v>10239.23</v>
      </c>
      <c r="AB789">
        <v>10237.719999999999</v>
      </c>
      <c r="AD789">
        <v>10238.06</v>
      </c>
      <c r="AF789" t="s">
        <v>182</v>
      </c>
      <c r="AG789" t="s">
        <v>185</v>
      </c>
      <c r="AI789" t="s">
        <v>186</v>
      </c>
      <c r="AJ789" t="s">
        <v>2535</v>
      </c>
      <c r="AK789" t="s">
        <v>188</v>
      </c>
    </row>
    <row r="790" spans="1:37" x14ac:dyDescent="0.3">
      <c r="A790">
        <v>8008</v>
      </c>
      <c r="B790" s="207">
        <v>46121</v>
      </c>
      <c r="C790" t="s">
        <v>438</v>
      </c>
      <c r="D790" t="s">
        <v>2536</v>
      </c>
      <c r="E790" t="s">
        <v>2537</v>
      </c>
      <c r="F790" s="207">
        <v>46568</v>
      </c>
      <c r="G790">
        <v>1.05</v>
      </c>
      <c r="H790">
        <v>12562</v>
      </c>
      <c r="I790">
        <v>12226481</v>
      </c>
      <c r="J790">
        <v>3.0779999999999998</v>
      </c>
      <c r="K790">
        <v>10152</v>
      </c>
      <c r="L790">
        <v>12752942</v>
      </c>
      <c r="M790">
        <v>20816</v>
      </c>
      <c r="N790">
        <v>505645</v>
      </c>
      <c r="O790">
        <v>36969</v>
      </c>
      <c r="P790">
        <v>448211</v>
      </c>
      <c r="Q790">
        <v>20465</v>
      </c>
      <c r="S790">
        <v>0</v>
      </c>
      <c r="T790">
        <v>67910</v>
      </c>
      <c r="U790">
        <v>6780</v>
      </c>
      <c r="V790">
        <v>1.2228333333000001</v>
      </c>
      <c r="W790">
        <v>1.1880333332999999</v>
      </c>
      <c r="X790">
        <v>2.5088333333000001</v>
      </c>
      <c r="Z790">
        <v>10151.92</v>
      </c>
      <c r="AB790">
        <v>10152.41</v>
      </c>
      <c r="AD790">
        <v>10151.92</v>
      </c>
      <c r="AF790" t="s">
        <v>182</v>
      </c>
      <c r="AG790" t="s">
        <v>185</v>
      </c>
      <c r="AI790" t="s">
        <v>186</v>
      </c>
      <c r="AJ790" t="s">
        <v>2538</v>
      </c>
      <c r="AK790" t="s">
        <v>188</v>
      </c>
    </row>
    <row r="791" spans="1:37" x14ac:dyDescent="0.3">
      <c r="A791">
        <v>8008</v>
      </c>
      <c r="B791" s="207">
        <v>46121</v>
      </c>
      <c r="C791" t="s">
        <v>438</v>
      </c>
      <c r="D791" t="s">
        <v>2539</v>
      </c>
      <c r="E791" t="s">
        <v>2540</v>
      </c>
      <c r="F791" s="207">
        <v>46599</v>
      </c>
      <c r="G791">
        <v>1.05</v>
      </c>
      <c r="H791">
        <v>67181</v>
      </c>
      <c r="I791">
        <v>65267064</v>
      </c>
      <c r="J791">
        <v>3.1059999999999999</v>
      </c>
      <c r="K791">
        <v>10122</v>
      </c>
      <c r="L791">
        <v>68000606</v>
      </c>
      <c r="M791">
        <v>91341</v>
      </c>
      <c r="N791">
        <v>2642201</v>
      </c>
      <c r="O791">
        <v>197537</v>
      </c>
      <c r="P791">
        <v>2371887</v>
      </c>
      <c r="Q791">
        <v>72777</v>
      </c>
      <c r="S791">
        <v>0</v>
      </c>
      <c r="T791">
        <v>359690</v>
      </c>
      <c r="U791">
        <v>35940</v>
      </c>
      <c r="V791">
        <v>1.3077333333000001</v>
      </c>
      <c r="W791">
        <v>1.2705</v>
      </c>
      <c r="X791">
        <v>2.7788333333000002</v>
      </c>
      <c r="Z791">
        <v>10121.36</v>
      </c>
      <c r="AB791">
        <v>10122.91</v>
      </c>
      <c r="AD791">
        <v>10122</v>
      </c>
      <c r="AF791" t="s">
        <v>182</v>
      </c>
      <c r="AG791" t="s">
        <v>185</v>
      </c>
      <c r="AI791" t="s">
        <v>186</v>
      </c>
      <c r="AJ791" t="s">
        <v>2541</v>
      </c>
      <c r="AK791" t="s">
        <v>188</v>
      </c>
    </row>
    <row r="792" spans="1:37" x14ac:dyDescent="0.3">
      <c r="A792">
        <v>8008</v>
      </c>
      <c r="B792" s="207">
        <v>46121</v>
      </c>
      <c r="C792" t="s">
        <v>438</v>
      </c>
      <c r="D792" t="s">
        <v>2542</v>
      </c>
      <c r="E792" t="s">
        <v>2543</v>
      </c>
      <c r="F792" s="207">
        <v>46630</v>
      </c>
      <c r="G792">
        <v>1.05</v>
      </c>
      <c r="H792">
        <v>186</v>
      </c>
      <c r="I792">
        <v>180388</v>
      </c>
      <c r="J792">
        <v>3.1349999999999998</v>
      </c>
      <c r="K792">
        <v>10091</v>
      </c>
      <c r="L792">
        <v>187692</v>
      </c>
      <c r="M792">
        <v>161</v>
      </c>
      <c r="N792">
        <v>7143</v>
      </c>
      <c r="O792">
        <v>546</v>
      </c>
      <c r="P792">
        <v>3822</v>
      </c>
      <c r="Q792">
        <v>2775</v>
      </c>
      <c r="S792">
        <v>0</v>
      </c>
      <c r="T792">
        <v>610</v>
      </c>
      <c r="U792">
        <v>60</v>
      </c>
      <c r="V792">
        <v>1.3927</v>
      </c>
      <c r="W792">
        <v>1.3527333333</v>
      </c>
      <c r="X792">
        <v>3.0663666666</v>
      </c>
      <c r="Z792">
        <v>10090.549999999999</v>
      </c>
      <c r="AB792">
        <v>10093.290000000001</v>
      </c>
      <c r="AD792">
        <v>10091.64</v>
      </c>
      <c r="AF792" t="s">
        <v>182</v>
      </c>
      <c r="AG792" t="s">
        <v>185</v>
      </c>
      <c r="AI792" t="s">
        <v>186</v>
      </c>
      <c r="AJ792" t="s">
        <v>2544</v>
      </c>
      <c r="AK792" t="s">
        <v>188</v>
      </c>
    </row>
    <row r="793" spans="1:37" x14ac:dyDescent="0.3">
      <c r="A793">
        <v>8008</v>
      </c>
      <c r="B793" s="207">
        <v>46121</v>
      </c>
      <c r="C793" t="s">
        <v>438</v>
      </c>
      <c r="D793" t="s">
        <v>2545</v>
      </c>
      <c r="E793" t="s">
        <v>2546</v>
      </c>
      <c r="F793" s="207">
        <v>46721</v>
      </c>
      <c r="G793">
        <v>1.05</v>
      </c>
      <c r="H793">
        <v>80282</v>
      </c>
      <c r="I793">
        <v>77441846</v>
      </c>
      <c r="J793">
        <v>3.2069999999999999</v>
      </c>
      <c r="K793">
        <v>10002</v>
      </c>
      <c r="L793">
        <v>80298054</v>
      </c>
      <c r="M793">
        <v>-10444</v>
      </c>
      <c r="N793">
        <v>2866652</v>
      </c>
      <c r="O793">
        <v>235233</v>
      </c>
      <c r="P793">
        <v>2506575</v>
      </c>
      <c r="Q793">
        <v>124844</v>
      </c>
      <c r="S793">
        <v>0</v>
      </c>
      <c r="T793">
        <v>383820</v>
      </c>
      <c r="U793">
        <v>38350</v>
      </c>
      <c r="V793">
        <v>1.6419999999999999</v>
      </c>
      <c r="W793">
        <v>1.5933333332999999</v>
      </c>
      <c r="X793">
        <v>4.0110666665999997</v>
      </c>
      <c r="Z793">
        <v>10000.870000000001</v>
      </c>
      <c r="AB793">
        <v>10005.64</v>
      </c>
      <c r="AD793">
        <v>10002.469999999999</v>
      </c>
      <c r="AF793" t="s">
        <v>182</v>
      </c>
      <c r="AG793" t="s">
        <v>185</v>
      </c>
      <c r="AI793" t="s">
        <v>186</v>
      </c>
      <c r="AJ793" t="s">
        <v>2547</v>
      </c>
      <c r="AK793" t="s">
        <v>188</v>
      </c>
    </row>
    <row r="794" spans="1:37" x14ac:dyDescent="0.3">
      <c r="A794">
        <v>8008</v>
      </c>
      <c r="B794" s="207">
        <v>46121</v>
      </c>
      <c r="C794" t="s">
        <v>438</v>
      </c>
      <c r="D794" t="s">
        <v>2548</v>
      </c>
      <c r="E794" t="s">
        <v>2549</v>
      </c>
      <c r="F794" s="207">
        <v>46752</v>
      </c>
      <c r="G794">
        <v>1.05</v>
      </c>
      <c r="H794">
        <v>30027</v>
      </c>
      <c r="I794">
        <v>28911154</v>
      </c>
      <c r="J794">
        <v>3.2290000000000001</v>
      </c>
      <c r="K794">
        <v>9972</v>
      </c>
      <c r="L794">
        <v>29942924</v>
      </c>
      <c r="M794">
        <v>-12836</v>
      </c>
      <c r="N794">
        <v>1044606</v>
      </c>
      <c r="O794">
        <v>87904</v>
      </c>
      <c r="P794">
        <v>673196</v>
      </c>
      <c r="Q794">
        <v>283506</v>
      </c>
      <c r="S794">
        <v>0</v>
      </c>
      <c r="T794">
        <v>106540</v>
      </c>
      <c r="U794">
        <v>10650</v>
      </c>
      <c r="V794">
        <v>1.7269333333000001</v>
      </c>
      <c r="W794">
        <v>1.6749333333</v>
      </c>
      <c r="X794">
        <v>4.3666333333000003</v>
      </c>
      <c r="Z794">
        <v>9970.1299999999992</v>
      </c>
      <c r="AB794">
        <v>9975.7800000000007</v>
      </c>
      <c r="AD794">
        <v>9972.1299999999992</v>
      </c>
      <c r="AF794" t="s">
        <v>182</v>
      </c>
      <c r="AG794" t="s">
        <v>185</v>
      </c>
      <c r="AI794" t="s">
        <v>186</v>
      </c>
      <c r="AJ794" t="s">
        <v>2550</v>
      </c>
      <c r="AK794" t="s">
        <v>188</v>
      </c>
    </row>
    <row r="795" spans="1:37" x14ac:dyDescent="0.3">
      <c r="A795">
        <v>8008</v>
      </c>
      <c r="B795" s="207">
        <v>46121</v>
      </c>
      <c r="C795" t="s">
        <v>438</v>
      </c>
      <c r="D795" t="s">
        <v>2551</v>
      </c>
      <c r="E795" t="s">
        <v>2552</v>
      </c>
      <c r="F795" s="207">
        <v>46843</v>
      </c>
      <c r="G795">
        <v>2.5</v>
      </c>
      <c r="H795">
        <v>5013</v>
      </c>
      <c r="I795">
        <v>4954718</v>
      </c>
      <c r="J795">
        <v>3.29</v>
      </c>
      <c r="K795">
        <v>10613</v>
      </c>
      <c r="L795">
        <v>5320296</v>
      </c>
      <c r="M795">
        <v>-23527</v>
      </c>
      <c r="N795">
        <v>389105</v>
      </c>
      <c r="O795">
        <v>36060</v>
      </c>
      <c r="P795">
        <v>72319</v>
      </c>
      <c r="Q795">
        <v>280726</v>
      </c>
      <c r="S795">
        <v>0</v>
      </c>
      <c r="T795">
        <v>15160</v>
      </c>
      <c r="U795">
        <v>1500</v>
      </c>
      <c r="V795">
        <v>1.9743999999999999</v>
      </c>
      <c r="W795">
        <v>1.9109</v>
      </c>
      <c r="X795">
        <v>5.4935999999999998</v>
      </c>
      <c r="Z795">
        <v>10611.35</v>
      </c>
      <c r="AB795">
        <v>10617.92</v>
      </c>
      <c r="AD795">
        <v>10612.57</v>
      </c>
      <c r="AF795" t="s">
        <v>182</v>
      </c>
      <c r="AG795" t="s">
        <v>185</v>
      </c>
      <c r="AI795" t="s">
        <v>186</v>
      </c>
      <c r="AJ795" t="s">
        <v>2553</v>
      </c>
      <c r="AK795" t="s">
        <v>188</v>
      </c>
    </row>
    <row r="796" spans="1:37" x14ac:dyDescent="0.3">
      <c r="A796">
        <v>8008</v>
      </c>
      <c r="B796" s="207">
        <v>46121</v>
      </c>
      <c r="C796" t="s">
        <v>438</v>
      </c>
      <c r="D796" t="s">
        <v>2554</v>
      </c>
      <c r="E796" t="s">
        <v>2555</v>
      </c>
      <c r="F796" s="207">
        <v>46873</v>
      </c>
      <c r="G796">
        <v>2.5</v>
      </c>
      <c r="H796">
        <v>52298</v>
      </c>
      <c r="I796">
        <v>51641349</v>
      </c>
      <c r="J796">
        <v>3.3050000000000002</v>
      </c>
      <c r="K796">
        <v>10582</v>
      </c>
      <c r="L796">
        <v>55341743</v>
      </c>
      <c r="M796">
        <v>-244681</v>
      </c>
      <c r="N796">
        <v>3945075</v>
      </c>
      <c r="O796">
        <v>375427</v>
      </c>
      <c r="P796">
        <v>2765566</v>
      </c>
      <c r="Q796">
        <v>804082</v>
      </c>
      <c r="S796">
        <v>0</v>
      </c>
      <c r="T796">
        <v>439720</v>
      </c>
      <c r="U796">
        <v>43960</v>
      </c>
      <c r="V796">
        <v>2.0566</v>
      </c>
      <c r="W796">
        <v>1.9904999999999999</v>
      </c>
      <c r="X796">
        <v>5.8721666666000001</v>
      </c>
      <c r="Z796">
        <v>10579.74</v>
      </c>
      <c r="AB796">
        <v>10586.56</v>
      </c>
      <c r="AD796">
        <v>10581.01</v>
      </c>
      <c r="AF796" t="s">
        <v>182</v>
      </c>
      <c r="AG796" t="s">
        <v>185</v>
      </c>
      <c r="AI796" t="s">
        <v>186</v>
      </c>
      <c r="AJ796" t="s">
        <v>2556</v>
      </c>
      <c r="AK796" t="s">
        <v>188</v>
      </c>
    </row>
    <row r="797" spans="1:37" x14ac:dyDescent="0.3">
      <c r="A797">
        <v>8008</v>
      </c>
      <c r="B797" s="207">
        <v>46121</v>
      </c>
      <c r="C797" t="s">
        <v>438</v>
      </c>
      <c r="D797" t="s">
        <v>2557</v>
      </c>
      <c r="E797" t="s">
        <v>2558</v>
      </c>
      <c r="F797" s="207">
        <v>46904</v>
      </c>
      <c r="G797">
        <v>2.5</v>
      </c>
      <c r="H797">
        <v>2310</v>
      </c>
      <c r="I797">
        <v>2278543</v>
      </c>
      <c r="J797">
        <v>3.3180000000000001</v>
      </c>
      <c r="K797">
        <v>10550</v>
      </c>
      <c r="L797">
        <v>2437050</v>
      </c>
      <c r="M797">
        <v>-10542</v>
      </c>
      <c r="N797">
        <v>169049</v>
      </c>
      <c r="O797">
        <v>16548</v>
      </c>
      <c r="P797">
        <v>999</v>
      </c>
      <c r="Q797">
        <v>151502</v>
      </c>
      <c r="S797">
        <v>0</v>
      </c>
      <c r="T797">
        <v>2450</v>
      </c>
      <c r="U797">
        <v>240</v>
      </c>
      <c r="V797">
        <v>2.1415666666000002</v>
      </c>
      <c r="W797">
        <v>2.0731666666000002</v>
      </c>
      <c r="X797">
        <v>6.2661666666000002</v>
      </c>
      <c r="Z797">
        <v>10547.66</v>
      </c>
      <c r="AB797">
        <v>10554.08</v>
      </c>
      <c r="AD797">
        <v>10548.53</v>
      </c>
      <c r="AF797" t="s">
        <v>182</v>
      </c>
      <c r="AG797" t="s">
        <v>185</v>
      </c>
      <c r="AI797" t="s">
        <v>186</v>
      </c>
      <c r="AJ797" t="s">
        <v>2559</v>
      </c>
      <c r="AK797" t="s">
        <v>188</v>
      </c>
    </row>
    <row r="798" spans="1:37" x14ac:dyDescent="0.3">
      <c r="A798">
        <v>8008</v>
      </c>
      <c r="B798" s="207">
        <v>46121</v>
      </c>
      <c r="C798" t="s">
        <v>438</v>
      </c>
      <c r="D798" t="s">
        <v>2560</v>
      </c>
      <c r="E798" t="s">
        <v>2561</v>
      </c>
      <c r="F798" s="207">
        <v>46934</v>
      </c>
      <c r="G798">
        <v>2.5</v>
      </c>
      <c r="H798">
        <v>32045</v>
      </c>
      <c r="I798">
        <v>31578532</v>
      </c>
      <c r="J798">
        <v>3.3290000000000002</v>
      </c>
      <c r="K798">
        <v>10518</v>
      </c>
      <c r="L798">
        <v>33704931</v>
      </c>
      <c r="M798">
        <v>-148977</v>
      </c>
      <c r="N798">
        <v>2275376</v>
      </c>
      <c r="O798">
        <v>229091</v>
      </c>
      <c r="P798">
        <v>1683682</v>
      </c>
      <c r="Q798">
        <v>362603</v>
      </c>
      <c r="S798">
        <v>0</v>
      </c>
      <c r="T798">
        <v>267780</v>
      </c>
      <c r="U798">
        <v>26760</v>
      </c>
      <c r="V798">
        <v>2.2237666666</v>
      </c>
      <c r="W798">
        <v>2.1530333332999998</v>
      </c>
      <c r="X798">
        <v>6.6643333333000001</v>
      </c>
      <c r="Z798">
        <v>10516.97</v>
      </c>
      <c r="AB798">
        <v>10522.72</v>
      </c>
      <c r="AD798">
        <v>10516.97</v>
      </c>
      <c r="AF798" t="s">
        <v>182</v>
      </c>
      <c r="AG798" t="s">
        <v>185</v>
      </c>
      <c r="AI798" t="s">
        <v>186</v>
      </c>
      <c r="AJ798" t="s">
        <v>2562</v>
      </c>
      <c r="AK798" t="s">
        <v>188</v>
      </c>
    </row>
    <row r="799" spans="1:37" x14ac:dyDescent="0.3">
      <c r="A799">
        <v>8008</v>
      </c>
      <c r="B799" s="207">
        <v>46121</v>
      </c>
      <c r="C799" t="s">
        <v>438</v>
      </c>
      <c r="D799" t="s">
        <v>2563</v>
      </c>
      <c r="E799" t="s">
        <v>2564</v>
      </c>
      <c r="F799" s="207">
        <v>46965</v>
      </c>
      <c r="G799">
        <v>2.5</v>
      </c>
      <c r="H799">
        <v>78999</v>
      </c>
      <c r="I799">
        <v>77772312</v>
      </c>
      <c r="J799">
        <v>3.3410000000000002</v>
      </c>
      <c r="K799">
        <v>10486</v>
      </c>
      <c r="L799">
        <v>82838350</v>
      </c>
      <c r="M799">
        <v>-366087</v>
      </c>
      <c r="N799">
        <v>5432125</v>
      </c>
      <c r="O799">
        <v>563585</v>
      </c>
      <c r="P799">
        <v>3431165</v>
      </c>
      <c r="Q799">
        <v>1437375</v>
      </c>
      <c r="S799">
        <v>0</v>
      </c>
      <c r="T799">
        <v>559250</v>
      </c>
      <c r="U799">
        <v>55920</v>
      </c>
      <c r="V799">
        <v>2.3086666666000002</v>
      </c>
      <c r="W799">
        <v>2.2354333333</v>
      </c>
      <c r="X799">
        <v>7.0929333333000004</v>
      </c>
      <c r="Z799">
        <v>10485.34</v>
      </c>
      <c r="AB799">
        <v>10490.35</v>
      </c>
      <c r="AD799">
        <v>10484.4</v>
      </c>
      <c r="AF799" t="s">
        <v>182</v>
      </c>
      <c r="AG799" t="s">
        <v>185</v>
      </c>
      <c r="AI799" t="s">
        <v>186</v>
      </c>
      <c r="AJ799" t="s">
        <v>2565</v>
      </c>
      <c r="AK799" t="s">
        <v>188</v>
      </c>
    </row>
    <row r="800" spans="1:37" x14ac:dyDescent="0.3">
      <c r="A800">
        <v>8008</v>
      </c>
      <c r="B800" s="207">
        <v>46121</v>
      </c>
      <c r="C800" t="s">
        <v>438</v>
      </c>
      <c r="D800" t="s">
        <v>2566</v>
      </c>
      <c r="E800" t="s">
        <v>2567</v>
      </c>
      <c r="F800" s="207">
        <v>46996</v>
      </c>
      <c r="G800">
        <v>2.5</v>
      </c>
      <c r="H800">
        <v>7827</v>
      </c>
      <c r="I800">
        <v>7697404</v>
      </c>
      <c r="J800">
        <v>3.355</v>
      </c>
      <c r="K800">
        <v>10454</v>
      </c>
      <c r="L800">
        <v>8182345</v>
      </c>
      <c r="M800">
        <v>-35732</v>
      </c>
      <c r="N800">
        <v>520673</v>
      </c>
      <c r="O800">
        <v>55710</v>
      </c>
      <c r="P800">
        <v>436696</v>
      </c>
      <c r="Q800">
        <v>28267</v>
      </c>
      <c r="S800">
        <v>0</v>
      </c>
      <c r="T800">
        <v>68910</v>
      </c>
      <c r="U800">
        <v>6870</v>
      </c>
      <c r="V800">
        <v>2.3936000000000002</v>
      </c>
      <c r="W800">
        <v>2.3175666665999999</v>
      </c>
      <c r="X800">
        <v>7.5385333333000002</v>
      </c>
      <c r="Z800">
        <v>10452.52</v>
      </c>
      <c r="AB800">
        <v>10457.700000000001</v>
      </c>
      <c r="AD800">
        <v>10451.799999999999</v>
      </c>
      <c r="AF800" t="s">
        <v>182</v>
      </c>
      <c r="AG800" t="s">
        <v>185</v>
      </c>
      <c r="AI800" t="s">
        <v>186</v>
      </c>
      <c r="AJ800" t="s">
        <v>2568</v>
      </c>
      <c r="AK800" t="s">
        <v>188</v>
      </c>
    </row>
    <row r="801" spans="1:37" x14ac:dyDescent="0.3">
      <c r="A801">
        <v>8008</v>
      </c>
      <c r="B801" s="207">
        <v>46121</v>
      </c>
      <c r="C801" t="s">
        <v>438</v>
      </c>
      <c r="D801" t="s">
        <v>2569</v>
      </c>
      <c r="E801" t="s">
        <v>2570</v>
      </c>
      <c r="F801" s="207">
        <v>47026</v>
      </c>
      <c r="G801">
        <v>2.5</v>
      </c>
      <c r="H801">
        <v>10474</v>
      </c>
      <c r="I801">
        <v>10290120</v>
      </c>
      <c r="J801">
        <v>3.3679999999999999</v>
      </c>
      <c r="K801">
        <v>10422</v>
      </c>
      <c r="L801">
        <v>10916002</v>
      </c>
      <c r="M801">
        <v>-48229</v>
      </c>
      <c r="N801">
        <v>674111</v>
      </c>
      <c r="O801">
        <v>74414</v>
      </c>
      <c r="P801">
        <v>149288</v>
      </c>
      <c r="Q801">
        <v>450409</v>
      </c>
      <c r="S801">
        <v>0</v>
      </c>
      <c r="T801">
        <v>31300</v>
      </c>
      <c r="U801">
        <v>3110</v>
      </c>
      <c r="V801">
        <v>2.4758</v>
      </c>
      <c r="W801">
        <v>2.3969333332999998</v>
      </c>
      <c r="X801">
        <v>7.9860333333</v>
      </c>
      <c r="Z801">
        <v>10420.85</v>
      </c>
      <c r="AB801">
        <v>10426.18</v>
      </c>
      <c r="AD801">
        <v>10420.1</v>
      </c>
      <c r="AF801" t="s">
        <v>182</v>
      </c>
      <c r="AG801" t="s">
        <v>185</v>
      </c>
      <c r="AI801" t="s">
        <v>186</v>
      </c>
      <c r="AJ801" t="s">
        <v>2571</v>
      </c>
      <c r="AK801" t="s">
        <v>188</v>
      </c>
    </row>
    <row r="802" spans="1:37" x14ac:dyDescent="0.3">
      <c r="A802">
        <v>8008</v>
      </c>
      <c r="B802" s="207">
        <v>46121</v>
      </c>
      <c r="C802" t="s">
        <v>438</v>
      </c>
      <c r="D802" t="s">
        <v>2572</v>
      </c>
      <c r="E802" t="s">
        <v>2573</v>
      </c>
      <c r="F802" s="207">
        <v>47057</v>
      </c>
      <c r="G802">
        <v>2.5</v>
      </c>
      <c r="H802">
        <v>6688</v>
      </c>
      <c r="I802">
        <v>6563998</v>
      </c>
      <c r="J802">
        <v>3.3929999999999998</v>
      </c>
      <c r="K802">
        <v>10386</v>
      </c>
      <c r="L802">
        <v>6946156</v>
      </c>
      <c r="M802">
        <v>-33371</v>
      </c>
      <c r="N802">
        <v>415529</v>
      </c>
      <c r="O802">
        <v>47416</v>
      </c>
      <c r="P802">
        <v>325757</v>
      </c>
      <c r="Q802">
        <v>42356</v>
      </c>
      <c r="S802">
        <v>0</v>
      </c>
      <c r="T802">
        <v>52220</v>
      </c>
      <c r="U802">
        <v>5220</v>
      </c>
      <c r="V802">
        <v>2.5607000000000002</v>
      </c>
      <c r="W802">
        <v>2.4784666666000001</v>
      </c>
      <c r="X802">
        <v>8.4631333333000001</v>
      </c>
      <c r="Z802">
        <v>10385.35</v>
      </c>
      <c r="AB802">
        <v>10390.07</v>
      </c>
      <c r="AD802">
        <v>10384.06</v>
      </c>
      <c r="AF802" t="s">
        <v>182</v>
      </c>
      <c r="AG802" t="s">
        <v>185</v>
      </c>
      <c r="AI802" t="s">
        <v>186</v>
      </c>
      <c r="AJ802" t="s">
        <v>2574</v>
      </c>
      <c r="AK802" t="s">
        <v>188</v>
      </c>
    </row>
    <row r="803" spans="1:37" x14ac:dyDescent="0.3">
      <c r="A803">
        <v>8008</v>
      </c>
      <c r="B803" s="207">
        <v>46121</v>
      </c>
      <c r="C803" t="s">
        <v>438</v>
      </c>
      <c r="D803" t="s">
        <v>2575</v>
      </c>
      <c r="E803" t="s">
        <v>2576</v>
      </c>
      <c r="F803" s="207">
        <v>47087</v>
      </c>
      <c r="G803">
        <v>2.5</v>
      </c>
      <c r="H803">
        <v>15850</v>
      </c>
      <c r="I803">
        <v>15539310</v>
      </c>
      <c r="J803">
        <v>3.4239999999999999</v>
      </c>
      <c r="K803">
        <v>10350</v>
      </c>
      <c r="L803">
        <v>16404750</v>
      </c>
      <c r="M803">
        <v>-85197</v>
      </c>
      <c r="N803">
        <v>950637</v>
      </c>
      <c r="O803">
        <v>112146</v>
      </c>
      <c r="P803">
        <v>762177</v>
      </c>
      <c r="Q803">
        <v>76314</v>
      </c>
      <c r="S803">
        <v>0</v>
      </c>
      <c r="T803">
        <v>122370</v>
      </c>
      <c r="U803">
        <v>12210</v>
      </c>
      <c r="V803">
        <v>2.6429</v>
      </c>
      <c r="W803">
        <v>2.5570333333000002</v>
      </c>
      <c r="X803">
        <v>8.9396666666000009</v>
      </c>
      <c r="Z803">
        <v>10348.48</v>
      </c>
      <c r="AB803">
        <v>10353.59</v>
      </c>
      <c r="AD803">
        <v>10348.209999999999</v>
      </c>
      <c r="AF803" t="s">
        <v>182</v>
      </c>
      <c r="AG803" t="s">
        <v>185</v>
      </c>
      <c r="AI803" t="s">
        <v>186</v>
      </c>
      <c r="AJ803" t="s">
        <v>2577</v>
      </c>
      <c r="AK803" t="s">
        <v>188</v>
      </c>
    </row>
    <row r="804" spans="1:37" x14ac:dyDescent="0.3">
      <c r="A804">
        <v>8008</v>
      </c>
      <c r="B804" s="207">
        <v>46121</v>
      </c>
      <c r="C804" t="s">
        <v>438</v>
      </c>
      <c r="D804" t="s">
        <v>2578</v>
      </c>
      <c r="E804" t="s">
        <v>2579</v>
      </c>
      <c r="F804" s="207">
        <v>47149</v>
      </c>
      <c r="G804">
        <v>2.5</v>
      </c>
      <c r="H804">
        <v>555</v>
      </c>
      <c r="I804">
        <v>543126</v>
      </c>
      <c r="J804">
        <v>3.4849999999999999</v>
      </c>
      <c r="K804">
        <v>10274</v>
      </c>
      <c r="L804">
        <v>570207</v>
      </c>
      <c r="M804">
        <v>-3744</v>
      </c>
      <c r="N804">
        <v>30825</v>
      </c>
      <c r="O804">
        <v>3911</v>
      </c>
      <c r="P804">
        <v>118</v>
      </c>
      <c r="Q804">
        <v>26796</v>
      </c>
      <c r="S804">
        <v>0</v>
      </c>
      <c r="T804">
        <v>560</v>
      </c>
      <c r="U804">
        <v>50</v>
      </c>
      <c r="V804">
        <v>2.8128000000000002</v>
      </c>
      <c r="W804">
        <v>2.7187999999999999</v>
      </c>
      <c r="X804">
        <v>9.9726666666000003</v>
      </c>
      <c r="Z804">
        <v>10273.299999999999</v>
      </c>
      <c r="AB804">
        <v>10277.01</v>
      </c>
      <c r="AD804">
        <v>10272.74</v>
      </c>
      <c r="AF804" t="s">
        <v>182</v>
      </c>
      <c r="AG804" t="s">
        <v>185</v>
      </c>
      <c r="AI804" t="s">
        <v>186</v>
      </c>
      <c r="AJ804" t="s">
        <v>2580</v>
      </c>
      <c r="AK804" t="s">
        <v>188</v>
      </c>
    </row>
    <row r="805" spans="1:37" x14ac:dyDescent="0.3">
      <c r="A805">
        <v>8008</v>
      </c>
      <c r="B805" s="207">
        <v>46121</v>
      </c>
      <c r="C805" t="s">
        <v>438</v>
      </c>
      <c r="D805" t="s">
        <v>2581</v>
      </c>
      <c r="E805" t="s">
        <v>2582</v>
      </c>
      <c r="F805" s="207">
        <v>47208</v>
      </c>
      <c r="G805">
        <v>2.5</v>
      </c>
      <c r="H805">
        <v>72749</v>
      </c>
      <c r="I805">
        <v>71067171</v>
      </c>
      <c r="J805">
        <v>3.5419999999999998</v>
      </c>
      <c r="K805">
        <v>10201</v>
      </c>
      <c r="L805">
        <v>74211254</v>
      </c>
      <c r="M805">
        <v>-590558</v>
      </c>
      <c r="N805">
        <v>3734641</v>
      </c>
      <c r="O805">
        <v>510534</v>
      </c>
      <c r="P805">
        <v>2376255</v>
      </c>
      <c r="Q805">
        <v>847852</v>
      </c>
      <c r="S805">
        <v>0</v>
      </c>
      <c r="T805">
        <v>404140</v>
      </c>
      <c r="U805">
        <v>40400</v>
      </c>
      <c r="V805">
        <v>2.9744000000000002</v>
      </c>
      <c r="W805">
        <v>2.8720666665999999</v>
      </c>
      <c r="X805">
        <v>11.0145666666</v>
      </c>
      <c r="Z805">
        <v>10202.31</v>
      </c>
      <c r="AB805">
        <v>10202.379999999999</v>
      </c>
      <c r="AD805">
        <v>10199.969999999999</v>
      </c>
      <c r="AF805" t="s">
        <v>182</v>
      </c>
      <c r="AG805" t="s">
        <v>185</v>
      </c>
      <c r="AI805" t="s">
        <v>186</v>
      </c>
      <c r="AJ805" t="s">
        <v>2583</v>
      </c>
      <c r="AK805" t="s">
        <v>188</v>
      </c>
    </row>
    <row r="806" spans="1:37" x14ac:dyDescent="0.3">
      <c r="A806">
        <v>8008</v>
      </c>
      <c r="B806" s="207">
        <v>46121</v>
      </c>
      <c r="C806" t="s">
        <v>438</v>
      </c>
      <c r="D806" t="s">
        <v>2584</v>
      </c>
      <c r="E806" t="s">
        <v>2585</v>
      </c>
      <c r="F806" s="207">
        <v>47238</v>
      </c>
      <c r="G806">
        <v>2.5</v>
      </c>
      <c r="H806">
        <v>260</v>
      </c>
      <c r="I806">
        <v>253786</v>
      </c>
      <c r="J806">
        <v>3.552</v>
      </c>
      <c r="K806">
        <v>10169</v>
      </c>
      <c r="L806">
        <v>264394</v>
      </c>
      <c r="M806">
        <v>-2185</v>
      </c>
      <c r="N806">
        <v>12793</v>
      </c>
      <c r="O806">
        <v>1821</v>
      </c>
      <c r="P806">
        <v>55</v>
      </c>
      <c r="Q806">
        <v>10917</v>
      </c>
      <c r="S806">
        <v>0</v>
      </c>
      <c r="T806">
        <v>260</v>
      </c>
      <c r="U806">
        <v>20</v>
      </c>
      <c r="V806">
        <v>3.0566</v>
      </c>
      <c r="W806">
        <v>2.9514999999999998</v>
      </c>
      <c r="X806">
        <v>11.544766666599999</v>
      </c>
      <c r="Z806">
        <v>10169.42</v>
      </c>
      <c r="AB806">
        <v>10170.39</v>
      </c>
      <c r="AD806">
        <v>10167.92</v>
      </c>
      <c r="AF806" t="s">
        <v>182</v>
      </c>
      <c r="AG806" t="s">
        <v>185</v>
      </c>
      <c r="AI806" t="s">
        <v>186</v>
      </c>
      <c r="AJ806" t="s">
        <v>2586</v>
      </c>
      <c r="AK806" t="s">
        <v>188</v>
      </c>
    </row>
    <row r="807" spans="1:37" x14ac:dyDescent="0.3">
      <c r="A807">
        <v>8008</v>
      </c>
      <c r="B807" s="207">
        <v>46121</v>
      </c>
      <c r="C807" t="s">
        <v>438</v>
      </c>
      <c r="D807" t="s">
        <v>2587</v>
      </c>
      <c r="E807" t="s">
        <v>2588</v>
      </c>
      <c r="F807" s="207">
        <v>47269</v>
      </c>
      <c r="G807">
        <v>2.5</v>
      </c>
      <c r="H807">
        <v>350</v>
      </c>
      <c r="I807">
        <v>341314</v>
      </c>
      <c r="J807">
        <v>3.5539999999999998</v>
      </c>
      <c r="K807">
        <v>10138</v>
      </c>
      <c r="L807">
        <v>354830</v>
      </c>
      <c r="M807">
        <v>-2936</v>
      </c>
      <c r="N807">
        <v>16452</v>
      </c>
      <c r="O807">
        <v>2446</v>
      </c>
      <c r="P807">
        <v>74</v>
      </c>
      <c r="Q807">
        <v>13932</v>
      </c>
      <c r="S807">
        <v>0</v>
      </c>
      <c r="T807">
        <v>350</v>
      </c>
      <c r="U807">
        <v>30</v>
      </c>
      <c r="V807">
        <v>3.1415666666000002</v>
      </c>
      <c r="W807">
        <v>3.0341999999999998</v>
      </c>
      <c r="X807">
        <v>12.098100000000001</v>
      </c>
      <c r="Z807">
        <v>10137.969999999999</v>
      </c>
      <c r="AB807">
        <v>10139.58</v>
      </c>
      <c r="AD807">
        <v>10136.73</v>
      </c>
      <c r="AF807" t="s">
        <v>182</v>
      </c>
      <c r="AG807" t="s">
        <v>185</v>
      </c>
      <c r="AI807" t="s">
        <v>186</v>
      </c>
      <c r="AJ807" t="s">
        <v>2589</v>
      </c>
      <c r="AK807" t="s">
        <v>188</v>
      </c>
    </row>
    <row r="808" spans="1:37" x14ac:dyDescent="0.3">
      <c r="A808">
        <v>8008</v>
      </c>
      <c r="B808" s="207">
        <v>46121</v>
      </c>
      <c r="C808" t="s">
        <v>438</v>
      </c>
      <c r="D808" t="s">
        <v>2590</v>
      </c>
      <c r="E808" t="s">
        <v>2591</v>
      </c>
      <c r="F808" s="207">
        <v>47299</v>
      </c>
      <c r="G808">
        <v>2.5</v>
      </c>
      <c r="H808">
        <v>1110</v>
      </c>
      <c r="I808">
        <v>1081464</v>
      </c>
      <c r="J808">
        <v>3.5569999999999999</v>
      </c>
      <c r="K808">
        <v>10107</v>
      </c>
      <c r="L808">
        <v>1121877</v>
      </c>
      <c r="M808">
        <v>-9407</v>
      </c>
      <c r="N808">
        <v>49820</v>
      </c>
      <c r="O808">
        <v>7742</v>
      </c>
      <c r="P808">
        <v>467</v>
      </c>
      <c r="Q808">
        <v>41611</v>
      </c>
      <c r="S808">
        <v>0</v>
      </c>
      <c r="T808">
        <v>1140</v>
      </c>
      <c r="U808">
        <v>110</v>
      </c>
      <c r="V808">
        <v>3.2237666666</v>
      </c>
      <c r="W808">
        <v>3.1140666665999999</v>
      </c>
      <c r="X808">
        <v>12.649900000000001</v>
      </c>
      <c r="Z808">
        <v>10107.32</v>
      </c>
      <c r="AB808">
        <v>10109.91</v>
      </c>
      <c r="AD808">
        <v>10106.370000000001</v>
      </c>
      <c r="AF808" t="s">
        <v>182</v>
      </c>
      <c r="AG808" t="s">
        <v>185</v>
      </c>
      <c r="AI808" t="s">
        <v>186</v>
      </c>
      <c r="AJ808" t="s">
        <v>2592</v>
      </c>
      <c r="AK808" t="s">
        <v>188</v>
      </c>
    </row>
    <row r="809" spans="1:37" x14ac:dyDescent="0.3">
      <c r="A809">
        <v>8008</v>
      </c>
      <c r="B809" s="207">
        <v>46121</v>
      </c>
      <c r="C809" t="s">
        <v>438</v>
      </c>
      <c r="D809" t="s">
        <v>2593</v>
      </c>
      <c r="E809" t="s">
        <v>2594</v>
      </c>
      <c r="F809" s="207">
        <v>47330</v>
      </c>
      <c r="G809">
        <v>2.5</v>
      </c>
      <c r="H809">
        <v>9092</v>
      </c>
      <c r="I809">
        <v>8850748</v>
      </c>
      <c r="J809">
        <v>3.5590000000000002</v>
      </c>
      <c r="K809">
        <v>10077</v>
      </c>
      <c r="L809">
        <v>9162006</v>
      </c>
      <c r="M809">
        <v>-76920</v>
      </c>
      <c r="N809">
        <v>388178</v>
      </c>
      <c r="O809">
        <v>63281</v>
      </c>
      <c r="P809">
        <v>268289</v>
      </c>
      <c r="Q809">
        <v>56608</v>
      </c>
      <c r="S809">
        <v>0</v>
      </c>
      <c r="T809">
        <v>46390</v>
      </c>
      <c r="U809">
        <v>4620</v>
      </c>
      <c r="V809">
        <v>3.3086666666000002</v>
      </c>
      <c r="W809">
        <v>3.1964999999999999</v>
      </c>
      <c r="X809">
        <v>13.2372</v>
      </c>
      <c r="Z809">
        <v>10076.129999999999</v>
      </c>
      <c r="AB809">
        <v>10079.75</v>
      </c>
      <c r="AD809">
        <v>10075.48</v>
      </c>
      <c r="AF809" t="s">
        <v>182</v>
      </c>
      <c r="AG809" t="s">
        <v>185</v>
      </c>
      <c r="AI809" t="s">
        <v>186</v>
      </c>
      <c r="AJ809" t="s">
        <v>2595</v>
      </c>
      <c r="AK809" t="s">
        <v>188</v>
      </c>
    </row>
    <row r="810" spans="1:37" x14ac:dyDescent="0.3">
      <c r="A810">
        <v>8008</v>
      </c>
      <c r="B810" s="207">
        <v>46121</v>
      </c>
      <c r="C810" t="s">
        <v>438</v>
      </c>
      <c r="D810" t="s">
        <v>2596</v>
      </c>
      <c r="E810" t="s">
        <v>2597</v>
      </c>
      <c r="F810" s="207">
        <v>47361</v>
      </c>
      <c r="G810">
        <v>2.5</v>
      </c>
      <c r="H810">
        <v>270</v>
      </c>
      <c r="I810">
        <v>262585</v>
      </c>
      <c r="J810">
        <v>3.5609999999999999</v>
      </c>
      <c r="K810">
        <v>10046</v>
      </c>
      <c r="L810">
        <v>271242</v>
      </c>
      <c r="M810">
        <v>-2280</v>
      </c>
      <c r="N810">
        <v>10937</v>
      </c>
      <c r="O810">
        <v>1875</v>
      </c>
      <c r="P810">
        <v>57</v>
      </c>
      <c r="Q810">
        <v>9005</v>
      </c>
      <c r="S810">
        <v>0</v>
      </c>
      <c r="T810">
        <v>270</v>
      </c>
      <c r="U810">
        <v>20</v>
      </c>
      <c r="V810">
        <v>3.3936000000000002</v>
      </c>
      <c r="W810">
        <v>3.2787333332999999</v>
      </c>
      <c r="X810">
        <v>13.8414</v>
      </c>
      <c r="Z810">
        <v>10045.07</v>
      </c>
      <c r="AB810">
        <v>10049.43</v>
      </c>
      <c r="AD810">
        <v>10044.74</v>
      </c>
      <c r="AF810" t="s">
        <v>182</v>
      </c>
      <c r="AG810" t="s">
        <v>185</v>
      </c>
      <c r="AI810" t="s">
        <v>186</v>
      </c>
      <c r="AJ810" t="s">
        <v>2598</v>
      </c>
      <c r="AK810" t="s">
        <v>188</v>
      </c>
    </row>
    <row r="811" spans="1:37" x14ac:dyDescent="0.3">
      <c r="A811">
        <v>8008</v>
      </c>
      <c r="B811" s="207">
        <v>46121</v>
      </c>
      <c r="C811" t="s">
        <v>438</v>
      </c>
      <c r="D811" t="s">
        <v>2599</v>
      </c>
      <c r="E811" t="s">
        <v>2600</v>
      </c>
      <c r="F811" s="207">
        <v>47391</v>
      </c>
      <c r="G811">
        <v>2.5</v>
      </c>
      <c r="H811">
        <v>7479</v>
      </c>
      <c r="I811">
        <v>7267575</v>
      </c>
      <c r="J811">
        <v>3.5619999999999998</v>
      </c>
      <c r="K811">
        <v>10016</v>
      </c>
      <c r="L811">
        <v>7490965</v>
      </c>
      <c r="M811">
        <v>-63805</v>
      </c>
      <c r="N811">
        <v>287195</v>
      </c>
      <c r="O811">
        <v>51839</v>
      </c>
      <c r="P811">
        <v>137971</v>
      </c>
      <c r="Q811">
        <v>97385</v>
      </c>
      <c r="S811">
        <v>0</v>
      </c>
      <c r="T811">
        <v>26560</v>
      </c>
      <c r="U811">
        <v>2620</v>
      </c>
      <c r="V811">
        <v>3.4758</v>
      </c>
      <c r="W811">
        <v>3.3581333333000001</v>
      </c>
      <c r="X811">
        <v>14.4421666666</v>
      </c>
      <c r="Z811">
        <v>10015.120000000001</v>
      </c>
      <c r="AB811">
        <v>10020.58</v>
      </c>
      <c r="AD811">
        <v>10015.120000000001</v>
      </c>
      <c r="AF811" t="s">
        <v>182</v>
      </c>
      <c r="AG811" t="s">
        <v>185</v>
      </c>
      <c r="AI811" t="s">
        <v>186</v>
      </c>
      <c r="AJ811" t="s">
        <v>2601</v>
      </c>
      <c r="AK811" t="s">
        <v>188</v>
      </c>
    </row>
    <row r="812" spans="1:37" x14ac:dyDescent="0.3">
      <c r="A812">
        <v>8008</v>
      </c>
      <c r="B812" s="207">
        <v>46121</v>
      </c>
      <c r="C812" t="s">
        <v>438</v>
      </c>
      <c r="D812" t="s">
        <v>2602</v>
      </c>
      <c r="E812" t="s">
        <v>2603</v>
      </c>
      <c r="F812" s="207">
        <v>47422</v>
      </c>
      <c r="G812">
        <v>2.5</v>
      </c>
      <c r="H812">
        <v>36273</v>
      </c>
      <c r="I812">
        <v>35093001</v>
      </c>
      <c r="J812">
        <v>3.5649999999999999</v>
      </c>
      <c r="K812">
        <v>9986</v>
      </c>
      <c r="L812">
        <v>36222217</v>
      </c>
      <c r="M812">
        <v>-184775</v>
      </c>
      <c r="N812">
        <v>1313991</v>
      </c>
      <c r="O812">
        <v>216734</v>
      </c>
      <c r="P812">
        <v>762611</v>
      </c>
      <c r="Q812">
        <v>334646</v>
      </c>
      <c r="S812">
        <v>0</v>
      </c>
      <c r="T812">
        <v>137090</v>
      </c>
      <c r="U812">
        <v>13690</v>
      </c>
      <c r="V812">
        <v>3.5607000000000002</v>
      </c>
      <c r="W812">
        <v>3.4400333333000002</v>
      </c>
      <c r="X812">
        <v>15.0791333333</v>
      </c>
      <c r="Z812">
        <v>9983.99</v>
      </c>
      <c r="AB812">
        <v>9990.6</v>
      </c>
      <c r="AD812">
        <v>9984.33</v>
      </c>
      <c r="AF812" t="s">
        <v>182</v>
      </c>
      <c r="AG812" t="s">
        <v>185</v>
      </c>
      <c r="AI812" t="s">
        <v>186</v>
      </c>
      <c r="AJ812" t="s">
        <v>2604</v>
      </c>
      <c r="AK812" t="s">
        <v>188</v>
      </c>
    </row>
    <row r="813" spans="1:37" x14ac:dyDescent="0.3">
      <c r="A813">
        <v>8008</v>
      </c>
      <c r="B813" s="207">
        <v>46121</v>
      </c>
      <c r="C813" t="s">
        <v>438</v>
      </c>
      <c r="D813" t="s">
        <v>2605</v>
      </c>
      <c r="E813" t="s">
        <v>2606</v>
      </c>
      <c r="F813" s="207">
        <v>47452</v>
      </c>
      <c r="G813">
        <v>2.5</v>
      </c>
      <c r="H813">
        <v>17564</v>
      </c>
      <c r="I813">
        <v>17036705</v>
      </c>
      <c r="J813">
        <v>3.5670000000000002</v>
      </c>
      <c r="K813">
        <v>9956</v>
      </c>
      <c r="L813">
        <v>17486718</v>
      </c>
      <c r="M813">
        <v>-149343</v>
      </c>
      <c r="N813">
        <v>599356</v>
      </c>
      <c r="O813">
        <v>121241</v>
      </c>
      <c r="P813">
        <v>371425</v>
      </c>
      <c r="Q813">
        <v>106690</v>
      </c>
      <c r="S813">
        <v>0</v>
      </c>
      <c r="T813">
        <v>68950</v>
      </c>
      <c r="U813">
        <v>6880</v>
      </c>
      <c r="V813">
        <v>3.6429</v>
      </c>
      <c r="W813">
        <v>3.5191333333000001</v>
      </c>
      <c r="X813">
        <v>15.711333333300001</v>
      </c>
      <c r="Z813">
        <v>9953.58</v>
      </c>
      <c r="AB813">
        <v>9962.07</v>
      </c>
      <c r="AD813">
        <v>9954.98</v>
      </c>
      <c r="AF813" t="s">
        <v>182</v>
      </c>
      <c r="AG813" t="s">
        <v>185</v>
      </c>
      <c r="AI813" t="s">
        <v>186</v>
      </c>
      <c r="AJ813" t="s">
        <v>2607</v>
      </c>
      <c r="AK813" t="s">
        <v>188</v>
      </c>
    </row>
    <row r="814" spans="1:37" x14ac:dyDescent="0.3">
      <c r="A814">
        <v>8008</v>
      </c>
      <c r="B814" s="207">
        <v>46121</v>
      </c>
      <c r="C814" t="s">
        <v>438</v>
      </c>
      <c r="D814" t="s">
        <v>2608</v>
      </c>
      <c r="E814" t="s">
        <v>2609</v>
      </c>
      <c r="F814" s="207">
        <v>47483</v>
      </c>
      <c r="G814">
        <v>2.5</v>
      </c>
      <c r="H814">
        <v>12550</v>
      </c>
      <c r="I814">
        <v>12162590</v>
      </c>
      <c r="J814">
        <v>3.57</v>
      </c>
      <c r="K814">
        <v>9926</v>
      </c>
      <c r="L814">
        <v>12457130</v>
      </c>
      <c r="M814">
        <v>-106529</v>
      </c>
      <c r="N814">
        <v>401069</v>
      </c>
      <c r="O814">
        <v>86449</v>
      </c>
      <c r="P814">
        <v>2611</v>
      </c>
      <c r="Q814">
        <v>312009</v>
      </c>
      <c r="S814">
        <v>0</v>
      </c>
      <c r="T814">
        <v>12460</v>
      </c>
      <c r="U814">
        <v>1240</v>
      </c>
      <c r="V814">
        <v>3.7278666666000002</v>
      </c>
      <c r="W814">
        <v>3.6006666666</v>
      </c>
      <c r="X814">
        <v>16.380533333300001</v>
      </c>
      <c r="Z814">
        <v>9921.9599999999991</v>
      </c>
      <c r="AB814">
        <v>9932.41</v>
      </c>
      <c r="AD814">
        <v>9924.82</v>
      </c>
      <c r="AF814" t="s">
        <v>182</v>
      </c>
      <c r="AG814" t="s">
        <v>185</v>
      </c>
      <c r="AI814" t="s">
        <v>186</v>
      </c>
      <c r="AJ814" t="s">
        <v>2610</v>
      </c>
      <c r="AK814" t="s">
        <v>188</v>
      </c>
    </row>
    <row r="815" spans="1:37" x14ac:dyDescent="0.3">
      <c r="A815">
        <v>8008</v>
      </c>
      <c r="B815" s="207">
        <v>46121</v>
      </c>
      <c r="C815" t="s">
        <v>438</v>
      </c>
      <c r="D815" t="s">
        <v>2611</v>
      </c>
      <c r="E815" t="s">
        <v>2612</v>
      </c>
      <c r="F815" s="207">
        <v>47514</v>
      </c>
      <c r="G815">
        <v>2.5</v>
      </c>
      <c r="H815">
        <v>15101</v>
      </c>
      <c r="I815">
        <v>14617440</v>
      </c>
      <c r="J815">
        <v>3.5739999999999998</v>
      </c>
      <c r="K815">
        <v>9895</v>
      </c>
      <c r="L815">
        <v>14942438</v>
      </c>
      <c r="M815">
        <v>-124945</v>
      </c>
      <c r="N815">
        <v>449943</v>
      </c>
      <c r="O815">
        <v>103803</v>
      </c>
      <c r="P815">
        <v>258497</v>
      </c>
      <c r="Q815">
        <v>87643</v>
      </c>
      <c r="S815">
        <v>0</v>
      </c>
      <c r="T815">
        <v>50690</v>
      </c>
      <c r="U815">
        <v>5040</v>
      </c>
      <c r="V815">
        <v>3.8128000000000002</v>
      </c>
      <c r="W815">
        <v>3.6819999999999999</v>
      </c>
      <c r="X815">
        <v>17.0657</v>
      </c>
      <c r="Z815">
        <v>9889.7000000000007</v>
      </c>
      <c r="AB815">
        <v>9902.9</v>
      </c>
      <c r="AD815">
        <v>9894.7999999999993</v>
      </c>
      <c r="AF815" t="s">
        <v>182</v>
      </c>
      <c r="AG815" t="s">
        <v>185</v>
      </c>
      <c r="AI815" t="s">
        <v>186</v>
      </c>
      <c r="AJ815" t="s">
        <v>2613</v>
      </c>
      <c r="AK815" t="s">
        <v>188</v>
      </c>
    </row>
    <row r="816" spans="1:37" x14ac:dyDescent="0.3">
      <c r="A816">
        <v>8008</v>
      </c>
      <c r="B816" s="207">
        <v>46121</v>
      </c>
      <c r="C816" t="s">
        <v>438</v>
      </c>
      <c r="D816" t="s">
        <v>2614</v>
      </c>
      <c r="E816" t="s">
        <v>2615</v>
      </c>
      <c r="F816" s="207">
        <v>47542</v>
      </c>
      <c r="G816">
        <v>2.5</v>
      </c>
      <c r="H816">
        <v>320</v>
      </c>
      <c r="I816">
        <v>309381</v>
      </c>
      <c r="J816">
        <v>3.577</v>
      </c>
      <c r="K816">
        <v>9868</v>
      </c>
      <c r="L816">
        <v>315776</v>
      </c>
      <c r="M816">
        <v>-2516</v>
      </c>
      <c r="N816">
        <v>8911</v>
      </c>
      <c r="O816">
        <v>2196</v>
      </c>
      <c r="P816">
        <v>66</v>
      </c>
      <c r="Q816">
        <v>6649</v>
      </c>
      <c r="S816">
        <v>0</v>
      </c>
      <c r="T816">
        <v>310</v>
      </c>
      <c r="U816">
        <v>30</v>
      </c>
      <c r="V816">
        <v>3.8895</v>
      </c>
      <c r="W816">
        <v>3.7553666666000001</v>
      </c>
      <c r="X816">
        <v>17.698599999999999</v>
      </c>
      <c r="Z816">
        <v>9861.08</v>
      </c>
      <c r="AB816">
        <v>9876.7199999999993</v>
      </c>
      <c r="AD816">
        <v>9867.75</v>
      </c>
      <c r="AF816" t="s">
        <v>182</v>
      </c>
      <c r="AG816" t="s">
        <v>185</v>
      </c>
      <c r="AI816" t="s">
        <v>186</v>
      </c>
      <c r="AJ816" t="s">
        <v>2616</v>
      </c>
      <c r="AK816" t="s">
        <v>188</v>
      </c>
    </row>
    <row r="817" spans="1:37" x14ac:dyDescent="0.3">
      <c r="A817">
        <v>8008</v>
      </c>
      <c r="B817" s="207">
        <v>46121</v>
      </c>
      <c r="C817" t="s">
        <v>438</v>
      </c>
      <c r="D817" t="s">
        <v>2617</v>
      </c>
      <c r="E817" t="s">
        <v>2618</v>
      </c>
      <c r="F817" s="207">
        <v>47573</v>
      </c>
      <c r="G817">
        <v>2.5</v>
      </c>
      <c r="H817">
        <v>6293</v>
      </c>
      <c r="I817">
        <v>6076225</v>
      </c>
      <c r="J817">
        <v>3.5790000000000002</v>
      </c>
      <c r="K817">
        <v>9838</v>
      </c>
      <c r="L817">
        <v>6191052</v>
      </c>
      <c r="M817">
        <v>-46861</v>
      </c>
      <c r="N817">
        <v>161688</v>
      </c>
      <c r="O817">
        <v>43085</v>
      </c>
      <c r="P817">
        <v>100258</v>
      </c>
      <c r="Q817">
        <v>18345</v>
      </c>
      <c r="S817">
        <v>0</v>
      </c>
      <c r="T817">
        <v>20040</v>
      </c>
      <c r="U817">
        <v>1990</v>
      </c>
      <c r="V817">
        <v>3.9744000000000002</v>
      </c>
      <c r="W817">
        <v>3.8365</v>
      </c>
      <c r="X817">
        <v>18.414633333299999</v>
      </c>
      <c r="Z817">
        <v>9830.84</v>
      </c>
      <c r="AB817">
        <v>9847.52</v>
      </c>
      <c r="AD817">
        <v>9837.6299999999992</v>
      </c>
      <c r="AF817" t="s">
        <v>182</v>
      </c>
      <c r="AG817" t="s">
        <v>185</v>
      </c>
      <c r="AI817" t="s">
        <v>186</v>
      </c>
      <c r="AJ817" t="s">
        <v>2619</v>
      </c>
      <c r="AK817" t="s">
        <v>188</v>
      </c>
    </row>
    <row r="818" spans="1:37" x14ac:dyDescent="0.3">
      <c r="A818">
        <v>8008</v>
      </c>
      <c r="B818" s="207">
        <v>46121</v>
      </c>
      <c r="C818" t="s">
        <v>438</v>
      </c>
      <c r="D818" t="s">
        <v>2620</v>
      </c>
      <c r="E818" t="s">
        <v>2621</v>
      </c>
      <c r="F818" s="207">
        <v>47603</v>
      </c>
      <c r="G818">
        <v>2.5</v>
      </c>
      <c r="H818">
        <v>127799</v>
      </c>
      <c r="I818">
        <v>123251735</v>
      </c>
      <c r="J818">
        <v>3.5870000000000002</v>
      </c>
      <c r="K818">
        <v>9807</v>
      </c>
      <c r="L818">
        <v>125332477</v>
      </c>
      <c r="M818">
        <v>-937112</v>
      </c>
      <c r="N818">
        <v>3017854</v>
      </c>
      <c r="O818">
        <v>873211</v>
      </c>
      <c r="P818">
        <v>1862921</v>
      </c>
      <c r="Q818">
        <v>281722</v>
      </c>
      <c r="S818">
        <v>0</v>
      </c>
      <c r="T818">
        <v>383040</v>
      </c>
      <c r="U818">
        <v>38290</v>
      </c>
      <c r="V818">
        <v>4.0566000000000004</v>
      </c>
      <c r="W818">
        <v>3.9158333333000002</v>
      </c>
      <c r="X818">
        <v>19.0975</v>
      </c>
      <c r="Z818">
        <v>9798.31</v>
      </c>
      <c r="AB818">
        <v>9816.0499999999993</v>
      </c>
      <c r="AD818">
        <v>9806.75</v>
      </c>
      <c r="AF818" t="s">
        <v>182</v>
      </c>
      <c r="AG818" t="s">
        <v>185</v>
      </c>
      <c r="AI818" t="s">
        <v>186</v>
      </c>
      <c r="AJ818" t="s">
        <v>2622</v>
      </c>
      <c r="AK818" t="s">
        <v>188</v>
      </c>
    </row>
    <row r="819" spans="1:37" x14ac:dyDescent="0.3">
      <c r="A819">
        <v>8008</v>
      </c>
      <c r="B819" s="207">
        <v>46121</v>
      </c>
      <c r="C819" t="s">
        <v>438</v>
      </c>
      <c r="D819" t="s">
        <v>2623</v>
      </c>
      <c r="E819" t="s">
        <v>2624</v>
      </c>
      <c r="F819" s="207">
        <v>47634</v>
      </c>
      <c r="G819">
        <v>2.5</v>
      </c>
      <c r="H819">
        <v>300350</v>
      </c>
      <c r="I819">
        <v>289281727</v>
      </c>
      <c r="J819">
        <v>3.597</v>
      </c>
      <c r="K819">
        <v>9773</v>
      </c>
      <c r="L819">
        <v>293532054</v>
      </c>
      <c r="M819">
        <v>-2198076</v>
      </c>
      <c r="N819">
        <v>6448403</v>
      </c>
      <c r="O819">
        <v>2047901</v>
      </c>
      <c r="P819">
        <v>3783883</v>
      </c>
      <c r="Q819">
        <v>616619</v>
      </c>
      <c r="S819">
        <v>0</v>
      </c>
      <c r="T819">
        <v>816420</v>
      </c>
      <c r="U819">
        <v>81620</v>
      </c>
      <c r="V819">
        <v>4.1415666666000002</v>
      </c>
      <c r="W819">
        <v>3.9982333333</v>
      </c>
      <c r="X819">
        <v>19.807133333300001</v>
      </c>
      <c r="Z819">
        <v>9764.9</v>
      </c>
      <c r="AB819">
        <v>9781.7800000000007</v>
      </c>
      <c r="AD819">
        <v>9773.89</v>
      </c>
      <c r="AF819" t="s">
        <v>182</v>
      </c>
      <c r="AG819" t="s">
        <v>185</v>
      </c>
      <c r="AI819" t="s">
        <v>186</v>
      </c>
      <c r="AJ819" t="s">
        <v>2625</v>
      </c>
      <c r="AK819" t="s">
        <v>188</v>
      </c>
    </row>
    <row r="820" spans="1:37" x14ac:dyDescent="0.3">
      <c r="A820">
        <v>8008</v>
      </c>
      <c r="B820" s="207">
        <v>46121</v>
      </c>
      <c r="C820" t="s">
        <v>438</v>
      </c>
      <c r="D820" t="s">
        <v>2626</v>
      </c>
      <c r="E820" t="s">
        <v>2627</v>
      </c>
      <c r="F820" s="207">
        <v>47664</v>
      </c>
      <c r="G820">
        <v>2.5</v>
      </c>
      <c r="H820">
        <v>1670</v>
      </c>
      <c r="I820">
        <v>1606551</v>
      </c>
      <c r="J820">
        <v>3.6059999999999999</v>
      </c>
      <c r="K820">
        <v>9741</v>
      </c>
      <c r="L820">
        <v>1626747</v>
      </c>
      <c r="M820">
        <v>-12198</v>
      </c>
      <c r="N820">
        <v>32394</v>
      </c>
      <c r="O820">
        <v>11363</v>
      </c>
      <c r="P820">
        <v>1580</v>
      </c>
      <c r="Q820">
        <v>19451</v>
      </c>
      <c r="S820">
        <v>0</v>
      </c>
      <c r="T820">
        <v>1810</v>
      </c>
      <c r="U820">
        <v>170</v>
      </c>
      <c r="V820">
        <v>4.2237666666000004</v>
      </c>
      <c r="W820">
        <v>4.0778666666000003</v>
      </c>
      <c r="X820">
        <v>20.509933333300001</v>
      </c>
      <c r="Z820">
        <v>9732.91</v>
      </c>
      <c r="AB820">
        <v>9748.8799999999992</v>
      </c>
      <c r="AD820">
        <v>9742.0499999999993</v>
      </c>
      <c r="AF820" t="s">
        <v>182</v>
      </c>
      <c r="AG820" t="s">
        <v>185</v>
      </c>
      <c r="AI820" t="s">
        <v>186</v>
      </c>
      <c r="AJ820" t="s">
        <v>2628</v>
      </c>
      <c r="AK820" t="s">
        <v>188</v>
      </c>
    </row>
    <row r="821" spans="1:37" x14ac:dyDescent="0.3">
      <c r="A821">
        <v>8008</v>
      </c>
      <c r="B821" s="207">
        <v>46121</v>
      </c>
      <c r="C821" t="s">
        <v>438</v>
      </c>
      <c r="D821" t="s">
        <v>2629</v>
      </c>
      <c r="E821" t="s">
        <v>2630</v>
      </c>
      <c r="F821" s="207">
        <v>47695</v>
      </c>
      <c r="G821">
        <v>2.5</v>
      </c>
      <c r="H821">
        <v>11801</v>
      </c>
      <c r="I821">
        <v>11338723</v>
      </c>
      <c r="J821">
        <v>3.6160000000000001</v>
      </c>
      <c r="K821">
        <v>9707</v>
      </c>
      <c r="L821">
        <v>11455230</v>
      </c>
      <c r="M821">
        <v>-87212</v>
      </c>
      <c r="N821">
        <v>203719</v>
      </c>
      <c r="O821">
        <v>80132</v>
      </c>
      <c r="P821">
        <v>93613</v>
      </c>
      <c r="Q821">
        <v>29974</v>
      </c>
      <c r="S821">
        <v>0</v>
      </c>
      <c r="T821">
        <v>24310</v>
      </c>
      <c r="U821">
        <v>2410</v>
      </c>
      <c r="V821">
        <v>4.3086666665999998</v>
      </c>
      <c r="W821">
        <v>4.1598666666000002</v>
      </c>
      <c r="X821">
        <v>21.252233333300001</v>
      </c>
      <c r="Z821">
        <v>9699.2199999999993</v>
      </c>
      <c r="AB821">
        <v>9715.0499999999993</v>
      </c>
      <c r="AD821">
        <v>9708.91</v>
      </c>
      <c r="AF821" t="s">
        <v>182</v>
      </c>
      <c r="AG821" t="s">
        <v>185</v>
      </c>
      <c r="AI821" t="s">
        <v>186</v>
      </c>
      <c r="AJ821" t="s">
        <v>2631</v>
      </c>
      <c r="AK821" t="s">
        <v>188</v>
      </c>
    </row>
    <row r="822" spans="1:37" x14ac:dyDescent="0.3">
      <c r="A822">
        <v>8008</v>
      </c>
      <c r="B822" s="207">
        <v>46121</v>
      </c>
      <c r="C822" t="s">
        <v>438</v>
      </c>
      <c r="D822" t="s">
        <v>2632</v>
      </c>
      <c r="E822" t="s">
        <v>2633</v>
      </c>
      <c r="F822" s="207">
        <v>47726</v>
      </c>
      <c r="G822">
        <v>2</v>
      </c>
      <c r="H822">
        <v>51991</v>
      </c>
      <c r="I822">
        <v>48757393</v>
      </c>
      <c r="J822">
        <v>3.6240000000000001</v>
      </c>
      <c r="K822">
        <v>9440</v>
      </c>
      <c r="L822">
        <v>49079504</v>
      </c>
      <c r="M822">
        <v>-307870</v>
      </c>
      <c r="N822">
        <v>629981</v>
      </c>
      <c r="O822">
        <v>281875</v>
      </c>
      <c r="P822">
        <v>257922</v>
      </c>
      <c r="Q822">
        <v>90184</v>
      </c>
      <c r="S822">
        <v>0</v>
      </c>
      <c r="T822">
        <v>75560</v>
      </c>
      <c r="U822">
        <v>7550</v>
      </c>
      <c r="V822">
        <v>4.3936000000000002</v>
      </c>
      <c r="W822">
        <v>4.2417666666000002</v>
      </c>
      <c r="X822">
        <v>22.011633333300001</v>
      </c>
      <c r="Z822">
        <v>9433.5</v>
      </c>
      <c r="AB822">
        <v>9447.02</v>
      </c>
      <c r="AD822">
        <v>9441.91</v>
      </c>
      <c r="AF822" t="s">
        <v>182</v>
      </c>
      <c r="AG822" t="s">
        <v>185</v>
      </c>
      <c r="AI822" t="s">
        <v>186</v>
      </c>
      <c r="AJ822" t="s">
        <v>2634</v>
      </c>
      <c r="AK822" t="s">
        <v>188</v>
      </c>
    </row>
    <row r="823" spans="1:37" x14ac:dyDescent="0.3">
      <c r="A823">
        <v>8008</v>
      </c>
      <c r="B823" s="207">
        <v>46121</v>
      </c>
      <c r="C823" t="s">
        <v>438</v>
      </c>
      <c r="D823" t="s">
        <v>2635</v>
      </c>
      <c r="E823" t="s">
        <v>2636</v>
      </c>
      <c r="F823" s="207">
        <v>47756</v>
      </c>
      <c r="G823">
        <v>2</v>
      </c>
      <c r="H823">
        <v>260</v>
      </c>
      <c r="I823">
        <v>243449</v>
      </c>
      <c r="J823">
        <v>3.633</v>
      </c>
      <c r="K823">
        <v>9409</v>
      </c>
      <c r="L823">
        <v>244634</v>
      </c>
      <c r="M823">
        <v>-1537</v>
      </c>
      <c r="N823">
        <v>2722</v>
      </c>
      <c r="O823">
        <v>1407</v>
      </c>
      <c r="P823">
        <v>43</v>
      </c>
      <c r="Q823">
        <v>1272</v>
      </c>
      <c r="S823">
        <v>0</v>
      </c>
      <c r="T823">
        <v>200</v>
      </c>
      <c r="U823">
        <v>20</v>
      </c>
      <c r="V823">
        <v>4.4757999999999996</v>
      </c>
      <c r="W823">
        <v>4.3208666665999997</v>
      </c>
      <c r="X823">
        <v>22.7617666666</v>
      </c>
      <c r="Z823">
        <v>9402.89</v>
      </c>
      <c r="AB823">
        <v>9414.9699999999993</v>
      </c>
      <c r="AD823">
        <v>9411.0300000000007</v>
      </c>
      <c r="AF823" t="s">
        <v>182</v>
      </c>
      <c r="AG823" t="s">
        <v>185</v>
      </c>
      <c r="AI823" t="s">
        <v>186</v>
      </c>
      <c r="AJ823" t="s">
        <v>2637</v>
      </c>
      <c r="AK823" t="s">
        <v>188</v>
      </c>
    </row>
    <row r="824" spans="1:37" x14ac:dyDescent="0.3">
      <c r="A824">
        <v>8008</v>
      </c>
      <c r="B824" s="207">
        <v>46121</v>
      </c>
      <c r="C824" t="s">
        <v>438</v>
      </c>
      <c r="D824" t="s">
        <v>2638</v>
      </c>
      <c r="E824" t="s">
        <v>2639</v>
      </c>
      <c r="F824" s="207">
        <v>47787</v>
      </c>
      <c r="G824">
        <v>2</v>
      </c>
      <c r="H824">
        <v>225</v>
      </c>
      <c r="I824">
        <v>210337</v>
      </c>
      <c r="J824">
        <v>3.6419999999999999</v>
      </c>
      <c r="K824">
        <v>9377</v>
      </c>
      <c r="L824">
        <v>210982</v>
      </c>
      <c r="M824">
        <v>-1328</v>
      </c>
      <c r="N824">
        <v>1973</v>
      </c>
      <c r="O824">
        <v>1215</v>
      </c>
      <c r="P824">
        <v>37</v>
      </c>
      <c r="Q824">
        <v>721</v>
      </c>
      <c r="S824">
        <v>0</v>
      </c>
      <c r="T824">
        <v>170</v>
      </c>
      <c r="U824">
        <v>10</v>
      </c>
      <c r="V824">
        <v>4.5606999999999998</v>
      </c>
      <c r="W824">
        <v>4.4024333333000003</v>
      </c>
      <c r="X824">
        <v>23.5527666666</v>
      </c>
      <c r="Z824">
        <v>9371.44</v>
      </c>
      <c r="AB824">
        <v>9381.6299999999992</v>
      </c>
      <c r="AD824">
        <v>9379.2900000000009</v>
      </c>
      <c r="AF824" t="s">
        <v>182</v>
      </c>
      <c r="AG824" t="s">
        <v>185</v>
      </c>
      <c r="AI824" t="s">
        <v>186</v>
      </c>
      <c r="AJ824" t="s">
        <v>2640</v>
      </c>
      <c r="AK824" t="s">
        <v>188</v>
      </c>
    </row>
    <row r="825" spans="1:37" x14ac:dyDescent="0.3">
      <c r="A825">
        <v>8008</v>
      </c>
      <c r="B825" s="207">
        <v>46121</v>
      </c>
      <c r="C825" t="s">
        <v>438</v>
      </c>
      <c r="D825" t="s">
        <v>2641</v>
      </c>
      <c r="E825" t="s">
        <v>2642</v>
      </c>
      <c r="F825" s="207">
        <v>47817</v>
      </c>
      <c r="G825">
        <v>2</v>
      </c>
      <c r="H825">
        <v>9782</v>
      </c>
      <c r="I825">
        <v>9039192</v>
      </c>
      <c r="J825">
        <v>3.6509999999999998</v>
      </c>
      <c r="K825">
        <v>9345</v>
      </c>
      <c r="L825">
        <v>9141278</v>
      </c>
      <c r="M825">
        <v>32316</v>
      </c>
      <c r="N825">
        <v>69770</v>
      </c>
      <c r="O825">
        <v>50115</v>
      </c>
      <c r="P825">
        <v>0</v>
      </c>
      <c r="Q825">
        <v>19655</v>
      </c>
      <c r="S825">
        <v>0</v>
      </c>
      <c r="T825">
        <v>7010</v>
      </c>
      <c r="U825">
        <v>700</v>
      </c>
      <c r="V825">
        <v>4.6429</v>
      </c>
      <c r="W825">
        <v>4.4810999999999996</v>
      </c>
      <c r="X825">
        <v>24.332899999999999</v>
      </c>
      <c r="Z825">
        <v>9339.73</v>
      </c>
      <c r="AB825">
        <v>9349.64</v>
      </c>
      <c r="AD825">
        <v>9348.5400000000009</v>
      </c>
      <c r="AF825" t="s">
        <v>182</v>
      </c>
      <c r="AG825" t="s">
        <v>185</v>
      </c>
      <c r="AI825" t="s">
        <v>186</v>
      </c>
      <c r="AJ825" t="s">
        <v>2643</v>
      </c>
      <c r="AK825" t="s">
        <v>188</v>
      </c>
    </row>
    <row r="826" spans="1:37" x14ac:dyDescent="0.3">
      <c r="A826">
        <v>8008</v>
      </c>
      <c r="B826" s="207">
        <v>46121</v>
      </c>
      <c r="C826" t="s">
        <v>438</v>
      </c>
      <c r="D826" t="s">
        <v>2644</v>
      </c>
      <c r="E826" t="s">
        <v>2645</v>
      </c>
      <c r="F826" s="207">
        <v>47848</v>
      </c>
      <c r="G826">
        <v>2</v>
      </c>
      <c r="H826">
        <v>420</v>
      </c>
      <c r="I826">
        <v>387684</v>
      </c>
      <c r="J826">
        <v>3.661</v>
      </c>
      <c r="K826">
        <v>9313</v>
      </c>
      <c r="L826">
        <v>391146</v>
      </c>
      <c r="M826">
        <v>1178</v>
      </c>
      <c r="N826">
        <v>2284</v>
      </c>
      <c r="O826">
        <v>1600</v>
      </c>
      <c r="P826">
        <v>0</v>
      </c>
      <c r="Q826">
        <v>684</v>
      </c>
      <c r="S826">
        <v>0</v>
      </c>
      <c r="T826">
        <v>220</v>
      </c>
      <c r="U826">
        <v>20</v>
      </c>
      <c r="V826">
        <v>4.7278666665999998</v>
      </c>
      <c r="W826">
        <v>4.5622333333</v>
      </c>
      <c r="X826">
        <v>25.154666666600001</v>
      </c>
      <c r="Z826">
        <v>9307.58</v>
      </c>
      <c r="AB826">
        <v>9316.77</v>
      </c>
      <c r="AD826">
        <v>9316.51</v>
      </c>
      <c r="AF826" t="s">
        <v>182</v>
      </c>
      <c r="AG826" t="s">
        <v>185</v>
      </c>
      <c r="AI826" t="s">
        <v>186</v>
      </c>
      <c r="AJ826" t="s">
        <v>2646</v>
      </c>
      <c r="AK826" t="s">
        <v>188</v>
      </c>
    </row>
    <row r="827" spans="1:37" x14ac:dyDescent="0.3">
      <c r="A827">
        <v>8008</v>
      </c>
      <c r="B827" s="207">
        <v>46121</v>
      </c>
      <c r="C827" t="s">
        <v>438</v>
      </c>
      <c r="D827" t="s">
        <v>2647</v>
      </c>
      <c r="E827" t="s">
        <v>2648</v>
      </c>
      <c r="F827" s="207">
        <v>47879</v>
      </c>
      <c r="G827">
        <v>2</v>
      </c>
      <c r="H827">
        <v>2400</v>
      </c>
      <c r="I827">
        <v>2222280</v>
      </c>
      <c r="J827">
        <v>3.6709999999999998</v>
      </c>
      <c r="K827">
        <v>9281</v>
      </c>
      <c r="L827">
        <v>2227440</v>
      </c>
      <c r="M827">
        <v>-3841</v>
      </c>
      <c r="N827">
        <v>9001</v>
      </c>
      <c r="O827">
        <v>5521</v>
      </c>
      <c r="P827">
        <v>0</v>
      </c>
      <c r="Q827">
        <v>3480</v>
      </c>
      <c r="S827">
        <v>0</v>
      </c>
      <c r="T827">
        <v>770</v>
      </c>
      <c r="U827">
        <v>70</v>
      </c>
      <c r="V827">
        <v>4.8128000000000002</v>
      </c>
      <c r="W827">
        <v>4.6432000000000002</v>
      </c>
      <c r="X827">
        <v>25.9916666666</v>
      </c>
      <c r="Z827">
        <v>9274.6299999999992</v>
      </c>
      <c r="AB827">
        <v>9283.5</v>
      </c>
      <c r="AD827">
        <v>9284.98</v>
      </c>
      <c r="AF827" t="s">
        <v>182</v>
      </c>
      <c r="AG827" t="s">
        <v>185</v>
      </c>
      <c r="AI827" t="s">
        <v>186</v>
      </c>
      <c r="AJ827" t="s">
        <v>2649</v>
      </c>
      <c r="AK827" t="s">
        <v>188</v>
      </c>
    </row>
    <row r="828" spans="1:37" x14ac:dyDescent="0.3">
      <c r="A828">
        <v>8008</v>
      </c>
      <c r="B828" s="207">
        <v>46121</v>
      </c>
      <c r="C828" t="s">
        <v>438</v>
      </c>
      <c r="D828" t="s">
        <v>2650</v>
      </c>
      <c r="E828" t="s">
        <v>2651</v>
      </c>
      <c r="F828" s="207">
        <v>47907</v>
      </c>
      <c r="G828">
        <v>2</v>
      </c>
      <c r="H828">
        <v>1740</v>
      </c>
      <c r="I828">
        <v>1576654</v>
      </c>
      <c r="J828">
        <v>3.681</v>
      </c>
      <c r="K828">
        <v>9251</v>
      </c>
      <c r="L828">
        <v>1609674</v>
      </c>
      <c r="M828">
        <v>29146</v>
      </c>
      <c r="N828">
        <v>3874</v>
      </c>
      <c r="O828">
        <v>991</v>
      </c>
      <c r="P828">
        <v>0</v>
      </c>
      <c r="Q828">
        <v>2883</v>
      </c>
      <c r="S828">
        <v>0</v>
      </c>
      <c r="T828">
        <v>130</v>
      </c>
      <c r="U828">
        <v>10</v>
      </c>
      <c r="V828">
        <v>4.8895</v>
      </c>
      <c r="W828">
        <v>4.7161333333000002</v>
      </c>
      <c r="X828">
        <v>26.7605333333</v>
      </c>
      <c r="Z828">
        <v>9244</v>
      </c>
      <c r="AB828">
        <v>9253.84</v>
      </c>
      <c r="AD828">
        <v>9256.2199999999993</v>
      </c>
      <c r="AF828" t="s">
        <v>182</v>
      </c>
      <c r="AG828" t="s">
        <v>185</v>
      </c>
      <c r="AI828" t="s">
        <v>186</v>
      </c>
      <c r="AJ828" t="s">
        <v>2652</v>
      </c>
      <c r="AK828" t="s">
        <v>188</v>
      </c>
    </row>
    <row r="829" spans="1:37" x14ac:dyDescent="0.3">
      <c r="A829">
        <v>8008</v>
      </c>
      <c r="B829" s="207">
        <v>46121</v>
      </c>
      <c r="C829" t="s">
        <v>438</v>
      </c>
      <c r="D829" t="s">
        <v>2653</v>
      </c>
      <c r="E829" t="s">
        <v>2654</v>
      </c>
      <c r="F829" s="207">
        <v>47968</v>
      </c>
      <c r="G829">
        <v>2</v>
      </c>
      <c r="H829">
        <v>86146</v>
      </c>
      <c r="I829">
        <v>78632045</v>
      </c>
      <c r="J829">
        <v>3.7010000000000001</v>
      </c>
      <c r="K829">
        <v>9187</v>
      </c>
      <c r="L829">
        <v>79142329</v>
      </c>
      <c r="M829">
        <v>510284</v>
      </c>
      <c r="N829">
        <v>0</v>
      </c>
      <c r="O829">
        <v>0</v>
      </c>
      <c r="P829">
        <v>0</v>
      </c>
      <c r="Q829">
        <v>0</v>
      </c>
      <c r="S829">
        <v>0</v>
      </c>
      <c r="T829">
        <v>0</v>
      </c>
      <c r="U829">
        <v>0</v>
      </c>
      <c r="V829">
        <v>5.0566000000000004</v>
      </c>
      <c r="W829">
        <v>4.8758666666000003</v>
      </c>
      <c r="X829">
        <v>28.459566666600001</v>
      </c>
      <c r="Z829">
        <v>9177.61</v>
      </c>
      <c r="AB829">
        <v>9189.0300000000007</v>
      </c>
      <c r="AD829">
        <v>9195.08</v>
      </c>
      <c r="AF829" t="s">
        <v>182</v>
      </c>
      <c r="AG829" t="s">
        <v>185</v>
      </c>
      <c r="AI829" t="s">
        <v>186</v>
      </c>
      <c r="AJ829" t="s">
        <v>2655</v>
      </c>
      <c r="AK829" t="s">
        <v>188</v>
      </c>
    </row>
    <row r="830" spans="1:37" x14ac:dyDescent="0.3">
      <c r="A830">
        <v>8008</v>
      </c>
      <c r="B830" s="207">
        <v>46121</v>
      </c>
      <c r="C830" t="s">
        <v>438</v>
      </c>
      <c r="D830" t="s">
        <v>2656</v>
      </c>
      <c r="E830" t="s">
        <v>2657</v>
      </c>
      <c r="F830" s="207">
        <v>46142</v>
      </c>
      <c r="G830">
        <v>1.05</v>
      </c>
      <c r="H830">
        <v>1290</v>
      </c>
      <c r="I830">
        <v>1283380</v>
      </c>
      <c r="J830">
        <v>2.637</v>
      </c>
      <c r="K830">
        <v>10520</v>
      </c>
      <c r="L830">
        <v>1357080</v>
      </c>
      <c r="M830">
        <v>5316</v>
      </c>
      <c r="N830">
        <v>68384</v>
      </c>
      <c r="O830">
        <v>3843</v>
      </c>
      <c r="P830">
        <v>45426</v>
      </c>
      <c r="Q830">
        <v>19115</v>
      </c>
      <c r="S830">
        <v>0</v>
      </c>
      <c r="T830">
        <v>6890</v>
      </c>
      <c r="U830">
        <v>680</v>
      </c>
      <c r="V830">
        <v>5.57E-2</v>
      </c>
      <c r="W830">
        <v>5.4699999999999999E-2</v>
      </c>
      <c r="X830">
        <v>3.9533333300000001E-2</v>
      </c>
      <c r="Z830">
        <v>10520.55</v>
      </c>
      <c r="AB830">
        <v>10521.14</v>
      </c>
      <c r="AD830">
        <v>10520.83</v>
      </c>
      <c r="AF830" t="s">
        <v>182</v>
      </c>
      <c r="AG830" t="s">
        <v>185</v>
      </c>
      <c r="AI830" t="s">
        <v>186</v>
      </c>
      <c r="AJ830" t="s">
        <v>2658</v>
      </c>
      <c r="AK830" t="s">
        <v>188</v>
      </c>
    </row>
    <row r="831" spans="1:37" x14ac:dyDescent="0.3">
      <c r="A831">
        <v>8008</v>
      </c>
      <c r="B831" s="207">
        <v>46121</v>
      </c>
      <c r="C831" t="s">
        <v>438</v>
      </c>
      <c r="D831" t="s">
        <v>2659</v>
      </c>
      <c r="E831" t="s">
        <v>2660</v>
      </c>
      <c r="F831" s="207">
        <v>46265</v>
      </c>
      <c r="G831">
        <v>1.05</v>
      </c>
      <c r="H831">
        <v>55700</v>
      </c>
      <c r="I831">
        <v>55107202</v>
      </c>
      <c r="J831">
        <v>2.7730000000000001</v>
      </c>
      <c r="K831">
        <v>10422</v>
      </c>
      <c r="L831">
        <v>58050540</v>
      </c>
      <c r="M831">
        <v>196699</v>
      </c>
      <c r="N831">
        <v>2746639</v>
      </c>
      <c r="O831">
        <v>165351</v>
      </c>
      <c r="P831">
        <v>2533449</v>
      </c>
      <c r="Q831">
        <v>47839</v>
      </c>
      <c r="S831">
        <v>0</v>
      </c>
      <c r="T831">
        <v>377830</v>
      </c>
      <c r="U831">
        <v>37780</v>
      </c>
      <c r="V831">
        <v>0.39269999999999999</v>
      </c>
      <c r="W831">
        <v>0.38419999999999999</v>
      </c>
      <c r="X831">
        <v>0.44579999999999997</v>
      </c>
      <c r="Z831">
        <v>10421.75</v>
      </c>
      <c r="AB831">
        <v>10423.59</v>
      </c>
      <c r="AD831">
        <v>10423.040000000001</v>
      </c>
      <c r="AF831" t="s">
        <v>182</v>
      </c>
      <c r="AG831" t="s">
        <v>185</v>
      </c>
      <c r="AI831" t="s">
        <v>186</v>
      </c>
      <c r="AJ831" t="s">
        <v>2661</v>
      </c>
      <c r="AK831" t="s">
        <v>188</v>
      </c>
    </row>
    <row r="832" spans="1:37" x14ac:dyDescent="0.3">
      <c r="A832">
        <v>8008</v>
      </c>
      <c r="B832" s="207">
        <v>46121</v>
      </c>
      <c r="C832" t="s">
        <v>438</v>
      </c>
      <c r="D832" t="s">
        <v>2662</v>
      </c>
      <c r="E832" t="s">
        <v>2663</v>
      </c>
      <c r="F832" s="207">
        <v>46295</v>
      </c>
      <c r="G832">
        <v>1.05</v>
      </c>
      <c r="H832">
        <v>214</v>
      </c>
      <c r="I832">
        <v>211401</v>
      </c>
      <c r="J832">
        <v>2.81</v>
      </c>
      <c r="K832">
        <v>10397</v>
      </c>
      <c r="L832">
        <v>222495</v>
      </c>
      <c r="M832">
        <v>735</v>
      </c>
      <c r="N832">
        <v>10359</v>
      </c>
      <c r="O832">
        <v>634</v>
      </c>
      <c r="P832">
        <v>9547</v>
      </c>
      <c r="Q832">
        <v>178</v>
      </c>
      <c r="S832">
        <v>0</v>
      </c>
      <c r="T832">
        <v>1420</v>
      </c>
      <c r="U832">
        <v>140</v>
      </c>
      <c r="V832">
        <v>0.47489999999999999</v>
      </c>
      <c r="W832">
        <v>0.4641666666</v>
      </c>
      <c r="X832">
        <v>0.58816666660000005</v>
      </c>
      <c r="Z832">
        <v>10396.25</v>
      </c>
      <c r="AB832">
        <v>10398.09</v>
      </c>
      <c r="AD832">
        <v>10398.34</v>
      </c>
      <c r="AF832" t="s">
        <v>182</v>
      </c>
      <c r="AG832" t="s">
        <v>185</v>
      </c>
      <c r="AI832" t="s">
        <v>186</v>
      </c>
      <c r="AJ832" t="s">
        <v>2664</v>
      </c>
      <c r="AK832" t="s">
        <v>188</v>
      </c>
    </row>
    <row r="833" spans="1:37" x14ac:dyDescent="0.3">
      <c r="A833">
        <v>8008</v>
      </c>
      <c r="B833" s="207">
        <v>46121</v>
      </c>
      <c r="C833" t="s">
        <v>438</v>
      </c>
      <c r="D833" t="s">
        <v>2665</v>
      </c>
      <c r="E833" t="s">
        <v>2666</v>
      </c>
      <c r="F833" s="207">
        <v>46326</v>
      </c>
      <c r="G833">
        <v>1.05</v>
      </c>
      <c r="H833">
        <v>8507</v>
      </c>
      <c r="I833">
        <v>8392005</v>
      </c>
      <c r="J833">
        <v>2.835</v>
      </c>
      <c r="K833">
        <v>10371</v>
      </c>
      <c r="L833">
        <v>8822609</v>
      </c>
      <c r="M833">
        <v>26682</v>
      </c>
      <c r="N833">
        <v>403922</v>
      </c>
      <c r="O833">
        <v>25210</v>
      </c>
      <c r="P833">
        <v>371406</v>
      </c>
      <c r="Q833">
        <v>7306</v>
      </c>
      <c r="S833">
        <v>0</v>
      </c>
      <c r="T833">
        <v>55520</v>
      </c>
      <c r="U833">
        <v>5550</v>
      </c>
      <c r="V833">
        <v>0.55979999999999996</v>
      </c>
      <c r="W833">
        <v>0.54663333329999997</v>
      </c>
      <c r="X833">
        <v>0.75286666660000001</v>
      </c>
      <c r="Z833">
        <v>10370.69</v>
      </c>
      <c r="AB833">
        <v>10372.08</v>
      </c>
      <c r="AD833">
        <v>10372.34</v>
      </c>
      <c r="AF833" t="s">
        <v>182</v>
      </c>
      <c r="AG833" t="s">
        <v>185</v>
      </c>
      <c r="AI833" t="s">
        <v>186</v>
      </c>
      <c r="AJ833" t="s">
        <v>2667</v>
      </c>
      <c r="AK833" t="s">
        <v>188</v>
      </c>
    </row>
    <row r="834" spans="1:37" x14ac:dyDescent="0.3">
      <c r="A834">
        <v>8008</v>
      </c>
      <c r="B834" s="207">
        <v>46121</v>
      </c>
      <c r="C834" t="s">
        <v>438</v>
      </c>
      <c r="D834" t="s">
        <v>2668</v>
      </c>
      <c r="E834" t="s">
        <v>2669</v>
      </c>
      <c r="F834" s="207">
        <v>46356</v>
      </c>
      <c r="G834">
        <v>1.05</v>
      </c>
      <c r="H834">
        <v>1</v>
      </c>
      <c r="I834">
        <v>985</v>
      </c>
      <c r="J834">
        <v>2.8540000000000001</v>
      </c>
      <c r="K834">
        <v>10346</v>
      </c>
      <c r="L834">
        <v>1034</v>
      </c>
      <c r="M834">
        <v>3</v>
      </c>
      <c r="N834">
        <v>46</v>
      </c>
      <c r="O834">
        <v>3</v>
      </c>
      <c r="P834">
        <v>23</v>
      </c>
      <c r="Q834">
        <v>20</v>
      </c>
      <c r="S834">
        <v>0</v>
      </c>
      <c r="T834">
        <v>0</v>
      </c>
      <c r="U834">
        <v>0</v>
      </c>
      <c r="V834">
        <v>0.64200000000000002</v>
      </c>
      <c r="W834">
        <v>0.62626666659999997</v>
      </c>
      <c r="X834">
        <v>0.92920000000000003</v>
      </c>
      <c r="Z834">
        <v>10346.290000000001</v>
      </c>
      <c r="AB834">
        <v>10347.15</v>
      </c>
      <c r="AD834">
        <v>10346.75</v>
      </c>
      <c r="AF834" t="s">
        <v>182</v>
      </c>
      <c r="AG834" t="s">
        <v>185</v>
      </c>
      <c r="AI834" t="s">
        <v>186</v>
      </c>
      <c r="AJ834" t="s">
        <v>2670</v>
      </c>
      <c r="AK834" t="s">
        <v>188</v>
      </c>
    </row>
    <row r="835" spans="1:37" x14ac:dyDescent="0.3">
      <c r="A835">
        <v>8008</v>
      </c>
      <c r="B835" s="207">
        <v>46121</v>
      </c>
      <c r="C835" t="s">
        <v>438</v>
      </c>
      <c r="D835" t="s">
        <v>2671</v>
      </c>
      <c r="E835" t="s">
        <v>2672</v>
      </c>
      <c r="F835" s="207">
        <v>46507</v>
      </c>
      <c r="G835">
        <v>1.05</v>
      </c>
      <c r="H835">
        <v>32574</v>
      </c>
      <c r="I835">
        <v>31820843</v>
      </c>
      <c r="J835">
        <v>3.02</v>
      </c>
      <c r="K835">
        <v>10210</v>
      </c>
      <c r="L835">
        <v>33258054</v>
      </c>
      <c r="M835">
        <v>66839</v>
      </c>
      <c r="N835">
        <v>1370372</v>
      </c>
      <c r="O835">
        <v>96031</v>
      </c>
      <c r="P835">
        <v>1248398</v>
      </c>
      <c r="Q835">
        <v>25943</v>
      </c>
      <c r="S835">
        <v>0</v>
      </c>
      <c r="T835">
        <v>188210</v>
      </c>
      <c r="U835">
        <v>18810</v>
      </c>
      <c r="V835">
        <v>1.0557000000000001</v>
      </c>
      <c r="W835">
        <v>1.0252666666000001</v>
      </c>
      <c r="X835">
        <v>2.0296666665999998</v>
      </c>
      <c r="Z835">
        <v>10210.969999999999</v>
      </c>
      <c r="AB835">
        <v>10209.64</v>
      </c>
      <c r="AD835">
        <v>10210.030000000001</v>
      </c>
      <c r="AF835" t="s">
        <v>182</v>
      </c>
      <c r="AG835" t="s">
        <v>185</v>
      </c>
      <c r="AI835" t="s">
        <v>186</v>
      </c>
      <c r="AJ835" t="s">
        <v>2673</v>
      </c>
      <c r="AK835" t="s">
        <v>188</v>
      </c>
    </row>
    <row r="836" spans="1:37" x14ac:dyDescent="0.3">
      <c r="A836">
        <v>8008</v>
      </c>
      <c r="B836" s="207">
        <v>46121</v>
      </c>
      <c r="C836" t="s">
        <v>438</v>
      </c>
      <c r="D836" t="s">
        <v>2674</v>
      </c>
      <c r="E836" t="s">
        <v>2675</v>
      </c>
      <c r="F836" s="207">
        <v>46599</v>
      </c>
      <c r="G836">
        <v>1.05</v>
      </c>
      <c r="H836">
        <v>5179</v>
      </c>
      <c r="I836">
        <v>5031455</v>
      </c>
      <c r="J836">
        <v>3.1059999999999999</v>
      </c>
      <c r="K836">
        <v>10122</v>
      </c>
      <c r="L836">
        <v>5242183</v>
      </c>
      <c r="M836">
        <v>7041</v>
      </c>
      <c r="N836">
        <v>203687</v>
      </c>
      <c r="O836">
        <v>15228</v>
      </c>
      <c r="P836">
        <v>159479</v>
      </c>
      <c r="Q836">
        <v>28980</v>
      </c>
      <c r="S836">
        <v>0</v>
      </c>
      <c r="T836">
        <v>24450</v>
      </c>
      <c r="U836">
        <v>2440</v>
      </c>
      <c r="V836">
        <v>1.3077333333000001</v>
      </c>
      <c r="W836">
        <v>1.2705</v>
      </c>
      <c r="X836">
        <v>2.7788333333000002</v>
      </c>
      <c r="Z836">
        <v>10121.36</v>
      </c>
      <c r="AB836">
        <v>10122.91</v>
      </c>
      <c r="AD836">
        <v>10122</v>
      </c>
      <c r="AF836" t="s">
        <v>182</v>
      </c>
      <c r="AG836" t="s">
        <v>185</v>
      </c>
      <c r="AI836" t="s">
        <v>186</v>
      </c>
      <c r="AJ836" t="s">
        <v>2676</v>
      </c>
      <c r="AK836" t="s">
        <v>188</v>
      </c>
    </row>
    <row r="837" spans="1:37" x14ac:dyDescent="0.3">
      <c r="A837">
        <v>8008</v>
      </c>
      <c r="B837" s="207">
        <v>46121</v>
      </c>
      <c r="C837" t="s">
        <v>438</v>
      </c>
      <c r="D837" t="s">
        <v>2677</v>
      </c>
      <c r="E837" t="s">
        <v>2678</v>
      </c>
      <c r="F837" s="207">
        <v>46721</v>
      </c>
      <c r="G837">
        <v>1.05</v>
      </c>
      <c r="H837">
        <v>61392</v>
      </c>
      <c r="I837">
        <v>59220121</v>
      </c>
      <c r="J837">
        <v>3.2069999999999999</v>
      </c>
      <c r="K837">
        <v>10002</v>
      </c>
      <c r="L837">
        <v>61404277</v>
      </c>
      <c r="M837">
        <v>-7988</v>
      </c>
      <c r="N837">
        <v>2192144</v>
      </c>
      <c r="O837">
        <v>179885</v>
      </c>
      <c r="P837">
        <v>1968349</v>
      </c>
      <c r="Q837">
        <v>43910</v>
      </c>
      <c r="S837">
        <v>0</v>
      </c>
      <c r="T837">
        <v>300740</v>
      </c>
      <c r="U837">
        <v>30070</v>
      </c>
      <c r="V837">
        <v>1.6419999999999999</v>
      </c>
      <c r="W837">
        <v>1.5933333332999999</v>
      </c>
      <c r="X837">
        <v>4.0110666665999997</v>
      </c>
      <c r="Z837">
        <v>10000.870000000001</v>
      </c>
      <c r="AB837">
        <v>10005.64</v>
      </c>
      <c r="AD837">
        <v>10002.469999999999</v>
      </c>
      <c r="AF837" t="s">
        <v>182</v>
      </c>
      <c r="AG837" t="s">
        <v>185</v>
      </c>
      <c r="AI837" t="s">
        <v>186</v>
      </c>
      <c r="AJ837" t="s">
        <v>2679</v>
      </c>
      <c r="AK837" t="s">
        <v>188</v>
      </c>
    </row>
    <row r="838" spans="1:37" x14ac:dyDescent="0.3">
      <c r="A838">
        <v>8008</v>
      </c>
      <c r="B838" s="207">
        <v>46121</v>
      </c>
      <c r="C838" t="s">
        <v>438</v>
      </c>
      <c r="D838" t="s">
        <v>2680</v>
      </c>
      <c r="E838" t="s">
        <v>2681</v>
      </c>
      <c r="F838" s="207">
        <v>46752</v>
      </c>
      <c r="G838">
        <v>1.05</v>
      </c>
      <c r="H838">
        <v>20000</v>
      </c>
      <c r="I838">
        <v>19256772</v>
      </c>
      <c r="J838">
        <v>3.2290000000000001</v>
      </c>
      <c r="K838">
        <v>9972</v>
      </c>
      <c r="L838">
        <v>19944000</v>
      </c>
      <c r="M838">
        <v>-8550</v>
      </c>
      <c r="N838">
        <v>695778</v>
      </c>
      <c r="O838">
        <v>58550</v>
      </c>
      <c r="P838">
        <v>438792</v>
      </c>
      <c r="Q838">
        <v>198436</v>
      </c>
      <c r="S838">
        <v>0</v>
      </c>
      <c r="T838">
        <v>69620</v>
      </c>
      <c r="U838">
        <v>6960</v>
      </c>
      <c r="V838">
        <v>1.7269333333000001</v>
      </c>
      <c r="W838">
        <v>1.6749333333</v>
      </c>
      <c r="X838">
        <v>4.3666333333000003</v>
      </c>
      <c r="Z838">
        <v>9970.1299999999992</v>
      </c>
      <c r="AB838">
        <v>9975.7800000000007</v>
      </c>
      <c r="AD838">
        <v>9972.1299999999992</v>
      </c>
      <c r="AF838" t="s">
        <v>182</v>
      </c>
      <c r="AG838" t="s">
        <v>185</v>
      </c>
      <c r="AI838" t="s">
        <v>186</v>
      </c>
      <c r="AJ838" t="s">
        <v>2682</v>
      </c>
      <c r="AK838" t="s">
        <v>188</v>
      </c>
    </row>
    <row r="839" spans="1:37" x14ac:dyDescent="0.3">
      <c r="A839">
        <v>8008</v>
      </c>
      <c r="B839" s="207">
        <v>46121</v>
      </c>
      <c r="C839" t="s">
        <v>438</v>
      </c>
      <c r="D839" t="s">
        <v>2683</v>
      </c>
      <c r="E839" t="s">
        <v>2684</v>
      </c>
      <c r="F839" s="207">
        <v>46783</v>
      </c>
      <c r="G839">
        <v>2.5</v>
      </c>
      <c r="H839">
        <v>5605</v>
      </c>
      <c r="I839">
        <v>5550592</v>
      </c>
      <c r="J839">
        <v>3.25</v>
      </c>
      <c r="K839">
        <v>10676</v>
      </c>
      <c r="L839">
        <v>5983897</v>
      </c>
      <c r="M839">
        <v>-25907</v>
      </c>
      <c r="N839">
        <v>459212</v>
      </c>
      <c r="O839">
        <v>40479</v>
      </c>
      <c r="P839">
        <v>293406</v>
      </c>
      <c r="Q839">
        <v>125327</v>
      </c>
      <c r="S839">
        <v>0</v>
      </c>
      <c r="T839">
        <v>46740</v>
      </c>
      <c r="U839">
        <v>4660</v>
      </c>
      <c r="V839">
        <v>1.8119000000000001</v>
      </c>
      <c r="W839">
        <v>1.7564333333</v>
      </c>
      <c r="X839">
        <v>4.7390333333000001</v>
      </c>
      <c r="Z839">
        <v>10673.66</v>
      </c>
      <c r="AB839">
        <v>10680.12</v>
      </c>
      <c r="AD839">
        <v>10675.72</v>
      </c>
      <c r="AF839" t="s">
        <v>182</v>
      </c>
      <c r="AG839" t="s">
        <v>185</v>
      </c>
      <c r="AI839" t="s">
        <v>186</v>
      </c>
      <c r="AJ839" t="s">
        <v>2685</v>
      </c>
      <c r="AK839" t="s">
        <v>188</v>
      </c>
    </row>
    <row r="840" spans="1:37" x14ac:dyDescent="0.3">
      <c r="A840">
        <v>8008</v>
      </c>
      <c r="B840" s="207">
        <v>46121</v>
      </c>
      <c r="C840" t="s">
        <v>438</v>
      </c>
      <c r="D840" t="s">
        <v>2686</v>
      </c>
      <c r="E840" t="s">
        <v>2687</v>
      </c>
      <c r="F840" s="207">
        <v>46934</v>
      </c>
      <c r="G840">
        <v>2.5</v>
      </c>
      <c r="H840">
        <v>1800</v>
      </c>
      <c r="I840">
        <v>1773800</v>
      </c>
      <c r="J840">
        <v>3.3290000000000002</v>
      </c>
      <c r="K840">
        <v>10518</v>
      </c>
      <c r="L840">
        <v>1893240</v>
      </c>
      <c r="M840">
        <v>-8368</v>
      </c>
      <c r="N840">
        <v>127808</v>
      </c>
      <c r="O840">
        <v>12868</v>
      </c>
      <c r="P840">
        <v>47867</v>
      </c>
      <c r="Q840">
        <v>67073</v>
      </c>
      <c r="S840">
        <v>0</v>
      </c>
      <c r="T840">
        <v>8490</v>
      </c>
      <c r="U840">
        <v>820</v>
      </c>
      <c r="V840">
        <v>2.2237666666</v>
      </c>
      <c r="W840">
        <v>2.1530333332999998</v>
      </c>
      <c r="X840">
        <v>6.6643333333000001</v>
      </c>
      <c r="Z840">
        <v>10516.97</v>
      </c>
      <c r="AB840">
        <v>10522.72</v>
      </c>
      <c r="AD840">
        <v>10516.97</v>
      </c>
      <c r="AF840" t="s">
        <v>182</v>
      </c>
      <c r="AG840" t="s">
        <v>185</v>
      </c>
      <c r="AI840" t="s">
        <v>186</v>
      </c>
      <c r="AJ840" t="s">
        <v>2688</v>
      </c>
      <c r="AK840" t="s">
        <v>188</v>
      </c>
    </row>
    <row r="841" spans="1:37" x14ac:dyDescent="0.3">
      <c r="A841">
        <v>8008</v>
      </c>
      <c r="B841" s="207">
        <v>46121</v>
      </c>
      <c r="C841" t="s">
        <v>438</v>
      </c>
      <c r="D841" t="s">
        <v>2689</v>
      </c>
      <c r="E841" t="s">
        <v>2690</v>
      </c>
      <c r="F841" s="207">
        <v>47026</v>
      </c>
      <c r="G841">
        <v>2.5</v>
      </c>
      <c r="H841">
        <v>3748</v>
      </c>
      <c r="I841">
        <v>3682200</v>
      </c>
      <c r="J841">
        <v>3.3679999999999999</v>
      </c>
      <c r="K841">
        <v>10422</v>
      </c>
      <c r="L841">
        <v>3906165</v>
      </c>
      <c r="M841">
        <v>-17258</v>
      </c>
      <c r="N841">
        <v>241223</v>
      </c>
      <c r="O841">
        <v>26628</v>
      </c>
      <c r="P841">
        <v>179282</v>
      </c>
      <c r="Q841">
        <v>35313</v>
      </c>
      <c r="S841">
        <v>0</v>
      </c>
      <c r="T841">
        <v>28820</v>
      </c>
      <c r="U841">
        <v>2880</v>
      </c>
      <c r="V841">
        <v>2.4758</v>
      </c>
      <c r="W841">
        <v>2.3969333332999998</v>
      </c>
      <c r="X841">
        <v>7.9860333333</v>
      </c>
      <c r="Z841">
        <v>10420.85</v>
      </c>
      <c r="AB841">
        <v>10426.18</v>
      </c>
      <c r="AD841">
        <v>10420.1</v>
      </c>
      <c r="AF841" t="s">
        <v>182</v>
      </c>
      <c r="AG841" t="s">
        <v>185</v>
      </c>
      <c r="AI841" t="s">
        <v>186</v>
      </c>
      <c r="AJ841" t="s">
        <v>2691</v>
      </c>
      <c r="AK841" t="s">
        <v>188</v>
      </c>
    </row>
    <row r="842" spans="1:37" x14ac:dyDescent="0.3">
      <c r="A842">
        <v>8008</v>
      </c>
      <c r="B842" s="207">
        <v>46121</v>
      </c>
      <c r="C842" t="s">
        <v>438</v>
      </c>
      <c r="D842" t="s">
        <v>2692</v>
      </c>
      <c r="E842" t="s">
        <v>2693</v>
      </c>
      <c r="F842" s="207">
        <v>47057</v>
      </c>
      <c r="G842">
        <v>2.5</v>
      </c>
      <c r="H842">
        <v>91784</v>
      </c>
      <c r="I842">
        <v>90082236</v>
      </c>
      <c r="J842">
        <v>3.3929999999999998</v>
      </c>
      <c r="K842">
        <v>10386</v>
      </c>
      <c r="L842">
        <v>95326860</v>
      </c>
      <c r="M842">
        <v>-457983</v>
      </c>
      <c r="N842">
        <v>5702607</v>
      </c>
      <c r="O842">
        <v>650729</v>
      </c>
      <c r="P842">
        <v>4827988</v>
      </c>
      <c r="Q842">
        <v>223890</v>
      </c>
      <c r="S842">
        <v>0</v>
      </c>
      <c r="T842">
        <v>767010</v>
      </c>
      <c r="U842">
        <v>76690</v>
      </c>
      <c r="V842">
        <v>2.5607000000000002</v>
      </c>
      <c r="W842">
        <v>2.4784666666000001</v>
      </c>
      <c r="X842">
        <v>8.4631333333000001</v>
      </c>
      <c r="Z842">
        <v>10385.35</v>
      </c>
      <c r="AB842">
        <v>10390.07</v>
      </c>
      <c r="AD842">
        <v>10384.06</v>
      </c>
      <c r="AF842" t="s">
        <v>182</v>
      </c>
      <c r="AG842" t="s">
        <v>185</v>
      </c>
      <c r="AI842" t="s">
        <v>186</v>
      </c>
      <c r="AJ842" t="s">
        <v>2694</v>
      </c>
      <c r="AK842" t="s">
        <v>188</v>
      </c>
    </row>
    <row r="843" spans="1:37" x14ac:dyDescent="0.3">
      <c r="A843">
        <v>8008</v>
      </c>
      <c r="B843" s="207">
        <v>46121</v>
      </c>
      <c r="C843" t="s">
        <v>438</v>
      </c>
      <c r="D843" t="s">
        <v>2695</v>
      </c>
      <c r="E843" t="s">
        <v>2696</v>
      </c>
      <c r="F843" s="207">
        <v>47118</v>
      </c>
      <c r="G843">
        <v>2.5</v>
      </c>
      <c r="H843">
        <v>103515</v>
      </c>
      <c r="I843">
        <v>101330170</v>
      </c>
      <c r="J843">
        <v>3.4550000000000001</v>
      </c>
      <c r="K843">
        <v>10312</v>
      </c>
      <c r="L843">
        <v>106744668</v>
      </c>
      <c r="M843">
        <v>-564182</v>
      </c>
      <c r="N843">
        <v>5978680</v>
      </c>
      <c r="O843">
        <v>726855</v>
      </c>
      <c r="P843">
        <v>1022169</v>
      </c>
      <c r="Q843">
        <v>4229656</v>
      </c>
      <c r="S843">
        <v>0</v>
      </c>
      <c r="T843">
        <v>244830</v>
      </c>
      <c r="U843">
        <v>24460</v>
      </c>
      <c r="V843">
        <v>2.7278666666000002</v>
      </c>
      <c r="W843">
        <v>2.6379999999999999</v>
      </c>
      <c r="X843">
        <v>9.4481333332999995</v>
      </c>
      <c r="Z843">
        <v>10310.89</v>
      </c>
      <c r="AB843">
        <v>10315.32</v>
      </c>
      <c r="AD843">
        <v>10310.620000000001</v>
      </c>
      <c r="AF843" t="s">
        <v>182</v>
      </c>
      <c r="AG843" t="s">
        <v>185</v>
      </c>
      <c r="AI843" t="s">
        <v>186</v>
      </c>
      <c r="AJ843" t="s">
        <v>2697</v>
      </c>
      <c r="AK843" t="s">
        <v>188</v>
      </c>
    </row>
    <row r="844" spans="1:37" x14ac:dyDescent="0.3">
      <c r="A844">
        <v>8008</v>
      </c>
      <c r="B844" s="207">
        <v>46121</v>
      </c>
      <c r="C844" t="s">
        <v>438</v>
      </c>
      <c r="D844" t="s">
        <v>2698</v>
      </c>
      <c r="E844" t="s">
        <v>2699</v>
      </c>
      <c r="F844" s="207">
        <v>47422</v>
      </c>
      <c r="G844">
        <v>2.5</v>
      </c>
      <c r="H844">
        <v>139426</v>
      </c>
      <c r="I844">
        <v>135367556</v>
      </c>
      <c r="J844">
        <v>3.5649999999999999</v>
      </c>
      <c r="K844">
        <v>9986</v>
      </c>
      <c r="L844">
        <v>139230803</v>
      </c>
      <c r="M844">
        <v>-1187475</v>
      </c>
      <c r="N844">
        <v>5050722</v>
      </c>
      <c r="O844">
        <v>964392</v>
      </c>
      <c r="P844">
        <v>3283329</v>
      </c>
      <c r="Q844">
        <v>803001</v>
      </c>
      <c r="S844">
        <v>0</v>
      </c>
      <c r="T844">
        <v>594670</v>
      </c>
      <c r="U844">
        <v>59450</v>
      </c>
      <c r="V844">
        <v>3.5607000000000002</v>
      </c>
      <c r="W844">
        <v>3.4400333333000002</v>
      </c>
      <c r="X844">
        <v>15.0791333333</v>
      </c>
      <c r="Z844">
        <v>9983.99</v>
      </c>
      <c r="AB844">
        <v>9990.6</v>
      </c>
      <c r="AD844">
        <v>9984.33</v>
      </c>
      <c r="AF844" t="s">
        <v>182</v>
      </c>
      <c r="AG844" t="s">
        <v>185</v>
      </c>
      <c r="AI844" t="s">
        <v>186</v>
      </c>
      <c r="AJ844" t="s">
        <v>2700</v>
      </c>
      <c r="AK844" t="s">
        <v>188</v>
      </c>
    </row>
    <row r="845" spans="1:37" x14ac:dyDescent="0.3">
      <c r="A845">
        <v>8008</v>
      </c>
      <c r="B845" s="207">
        <v>46121</v>
      </c>
      <c r="C845" t="s">
        <v>438</v>
      </c>
      <c r="D845" t="s">
        <v>2701</v>
      </c>
      <c r="E845" t="s">
        <v>2702</v>
      </c>
      <c r="F845" s="207">
        <v>47514</v>
      </c>
      <c r="G845">
        <v>2.5</v>
      </c>
      <c r="H845">
        <v>10450</v>
      </c>
      <c r="I845">
        <v>10115372</v>
      </c>
      <c r="J845">
        <v>3.5739999999999998</v>
      </c>
      <c r="K845">
        <v>9895</v>
      </c>
      <c r="L845">
        <v>10340274</v>
      </c>
      <c r="M845">
        <v>-86463</v>
      </c>
      <c r="N845">
        <v>311365</v>
      </c>
      <c r="O845">
        <v>71834</v>
      </c>
      <c r="P845">
        <v>199162</v>
      </c>
      <c r="Q845">
        <v>40369</v>
      </c>
      <c r="S845">
        <v>0</v>
      </c>
      <c r="T845">
        <v>37920</v>
      </c>
      <c r="U845">
        <v>3770</v>
      </c>
      <c r="V845">
        <v>3.8128000000000002</v>
      </c>
      <c r="W845">
        <v>3.6819999999999999</v>
      </c>
      <c r="X845">
        <v>17.0657</v>
      </c>
      <c r="Z845">
        <v>9889.7000000000007</v>
      </c>
      <c r="AB845">
        <v>9902.9</v>
      </c>
      <c r="AD845">
        <v>9894.7999999999993</v>
      </c>
      <c r="AF845" t="s">
        <v>182</v>
      </c>
      <c r="AG845" t="s">
        <v>185</v>
      </c>
      <c r="AI845" t="s">
        <v>186</v>
      </c>
      <c r="AJ845" t="s">
        <v>2703</v>
      </c>
      <c r="AK845" t="s">
        <v>188</v>
      </c>
    </row>
    <row r="846" spans="1:37" x14ac:dyDescent="0.3">
      <c r="A846">
        <v>8008</v>
      </c>
      <c r="B846" s="207">
        <v>46121</v>
      </c>
      <c r="C846" t="s">
        <v>438</v>
      </c>
      <c r="D846" t="s">
        <v>2704</v>
      </c>
      <c r="E846" t="s">
        <v>2705</v>
      </c>
      <c r="F846" s="207">
        <v>47695</v>
      </c>
      <c r="G846">
        <v>2.5</v>
      </c>
      <c r="H846">
        <v>2375</v>
      </c>
      <c r="I846">
        <v>2281966</v>
      </c>
      <c r="J846">
        <v>3.6160000000000001</v>
      </c>
      <c r="K846">
        <v>9707</v>
      </c>
      <c r="L846">
        <v>2305412</v>
      </c>
      <c r="M846">
        <v>-17551</v>
      </c>
      <c r="N846">
        <v>40997</v>
      </c>
      <c r="O846">
        <v>16126</v>
      </c>
      <c r="P846">
        <v>18701</v>
      </c>
      <c r="Q846">
        <v>6170</v>
      </c>
      <c r="S846">
        <v>0</v>
      </c>
      <c r="T846">
        <v>4850</v>
      </c>
      <c r="U846">
        <v>460</v>
      </c>
      <c r="V846">
        <v>4.3086666665999998</v>
      </c>
      <c r="W846">
        <v>4.1598666666000002</v>
      </c>
      <c r="X846">
        <v>21.252233333300001</v>
      </c>
      <c r="Z846">
        <v>9699.2199999999993</v>
      </c>
      <c r="AB846">
        <v>9715.0499999999993</v>
      </c>
      <c r="AD846">
        <v>9708.91</v>
      </c>
      <c r="AF846" t="s">
        <v>182</v>
      </c>
      <c r="AG846" t="s">
        <v>185</v>
      </c>
      <c r="AI846" t="s">
        <v>186</v>
      </c>
      <c r="AJ846" t="s">
        <v>2706</v>
      </c>
      <c r="AK846" t="s">
        <v>188</v>
      </c>
    </row>
    <row r="847" spans="1:37" x14ac:dyDescent="0.3">
      <c r="A847">
        <v>8008</v>
      </c>
      <c r="B847" s="207">
        <v>46121</v>
      </c>
      <c r="C847" t="s">
        <v>438</v>
      </c>
      <c r="D847" t="s">
        <v>2707</v>
      </c>
      <c r="E847" t="s">
        <v>2708</v>
      </c>
      <c r="F847" s="207">
        <v>47756</v>
      </c>
      <c r="G847">
        <v>2.5</v>
      </c>
      <c r="H847">
        <v>6552</v>
      </c>
      <c r="I847">
        <v>6280016</v>
      </c>
      <c r="J847">
        <v>3.633</v>
      </c>
      <c r="K847">
        <v>9642</v>
      </c>
      <c r="L847">
        <v>6317438</v>
      </c>
      <c r="M847">
        <v>-48236</v>
      </c>
      <c r="N847">
        <v>85658</v>
      </c>
      <c r="O847">
        <v>44306</v>
      </c>
      <c r="P847">
        <v>26963</v>
      </c>
      <c r="Q847">
        <v>14389</v>
      </c>
      <c r="S847">
        <v>0</v>
      </c>
      <c r="T847">
        <v>9970</v>
      </c>
      <c r="U847">
        <v>990</v>
      </c>
      <c r="V847">
        <v>4.4757999999999996</v>
      </c>
      <c r="W847">
        <v>4.3208666665999997</v>
      </c>
      <c r="X847">
        <v>22.7617666666</v>
      </c>
      <c r="Z847">
        <v>9636.26</v>
      </c>
      <c r="AB847">
        <v>9648.01</v>
      </c>
      <c r="AD847">
        <v>9644.6</v>
      </c>
      <c r="AF847" t="s">
        <v>182</v>
      </c>
      <c r="AG847" t="s">
        <v>185</v>
      </c>
      <c r="AI847" t="s">
        <v>186</v>
      </c>
      <c r="AJ847" t="s">
        <v>2709</v>
      </c>
      <c r="AK847" t="s">
        <v>188</v>
      </c>
    </row>
    <row r="848" spans="1:37" x14ac:dyDescent="0.3">
      <c r="A848">
        <v>8008</v>
      </c>
      <c r="B848" s="207">
        <v>46121</v>
      </c>
      <c r="C848" t="s">
        <v>438</v>
      </c>
      <c r="D848" t="s">
        <v>2710</v>
      </c>
      <c r="E848" t="s">
        <v>2711</v>
      </c>
      <c r="F848" s="207">
        <v>46387</v>
      </c>
      <c r="G848">
        <v>1.05</v>
      </c>
      <c r="H848">
        <v>9418</v>
      </c>
      <c r="I848">
        <v>9262641</v>
      </c>
      <c r="J848">
        <v>2.879</v>
      </c>
      <c r="K848">
        <v>10320</v>
      </c>
      <c r="L848">
        <v>9719376</v>
      </c>
      <c r="M848">
        <v>26764</v>
      </c>
      <c r="N848">
        <v>429971</v>
      </c>
      <c r="O848">
        <v>27861</v>
      </c>
      <c r="P848">
        <v>394560</v>
      </c>
      <c r="Q848">
        <v>7550</v>
      </c>
      <c r="S848">
        <v>0</v>
      </c>
      <c r="T848">
        <v>59130</v>
      </c>
      <c r="U848">
        <v>5910</v>
      </c>
      <c r="V848">
        <v>0.72693333329999998</v>
      </c>
      <c r="W848">
        <v>0.70840000000000003</v>
      </c>
      <c r="X848">
        <v>1.1285666666</v>
      </c>
      <c r="Z848">
        <v>10319.76</v>
      </c>
      <c r="AB848">
        <v>10321.15</v>
      </c>
      <c r="AD848">
        <v>10319.91</v>
      </c>
      <c r="AF848" t="s">
        <v>182</v>
      </c>
      <c r="AG848" t="s">
        <v>185</v>
      </c>
      <c r="AI848" t="s">
        <v>186</v>
      </c>
      <c r="AJ848" t="s">
        <v>2712</v>
      </c>
      <c r="AK848" t="s">
        <v>188</v>
      </c>
    </row>
    <row r="849" spans="1:37" x14ac:dyDescent="0.3">
      <c r="A849">
        <v>8008</v>
      </c>
      <c r="B849" s="207">
        <v>46121</v>
      </c>
      <c r="C849" t="s">
        <v>438</v>
      </c>
      <c r="D849" t="s">
        <v>2713</v>
      </c>
      <c r="E849" t="s">
        <v>2714</v>
      </c>
      <c r="F849" s="207">
        <v>46568</v>
      </c>
      <c r="G849">
        <v>1.05</v>
      </c>
      <c r="H849">
        <v>25753</v>
      </c>
      <c r="I849">
        <v>25065161</v>
      </c>
      <c r="J849">
        <v>3.0779999999999998</v>
      </c>
      <c r="K849">
        <v>10152</v>
      </c>
      <c r="L849">
        <v>26144445</v>
      </c>
      <c r="M849">
        <v>42673</v>
      </c>
      <c r="N849">
        <v>1036611</v>
      </c>
      <c r="O849">
        <v>75791</v>
      </c>
      <c r="P849">
        <v>939440</v>
      </c>
      <c r="Q849">
        <v>21380</v>
      </c>
      <c r="S849">
        <v>0</v>
      </c>
      <c r="T849">
        <v>142130</v>
      </c>
      <c r="U849">
        <v>14210</v>
      </c>
      <c r="V849">
        <v>1.2228333333000001</v>
      </c>
      <c r="W849">
        <v>1.1880333332999999</v>
      </c>
      <c r="X849">
        <v>2.5088333333000001</v>
      </c>
      <c r="Z849">
        <v>10151.92</v>
      </c>
      <c r="AB849">
        <v>10152.41</v>
      </c>
      <c r="AD849">
        <v>10151.92</v>
      </c>
      <c r="AF849" t="s">
        <v>182</v>
      </c>
      <c r="AG849" t="s">
        <v>185</v>
      </c>
      <c r="AI849" t="s">
        <v>186</v>
      </c>
      <c r="AJ849" t="s">
        <v>2715</v>
      </c>
      <c r="AK849" t="s">
        <v>188</v>
      </c>
    </row>
    <row r="850" spans="1:37" x14ac:dyDescent="0.3">
      <c r="A850">
        <v>8008</v>
      </c>
      <c r="B850" s="207">
        <v>46121</v>
      </c>
      <c r="C850" t="s">
        <v>438</v>
      </c>
      <c r="D850" t="s">
        <v>2716</v>
      </c>
      <c r="E850" t="s">
        <v>2717</v>
      </c>
      <c r="F850" s="207">
        <v>46660</v>
      </c>
      <c r="G850">
        <v>1.05</v>
      </c>
      <c r="H850">
        <v>928</v>
      </c>
      <c r="I850">
        <v>898414</v>
      </c>
      <c r="J850">
        <v>3.16</v>
      </c>
      <c r="K850">
        <v>10062</v>
      </c>
      <c r="L850">
        <v>933753</v>
      </c>
      <c r="M850">
        <v>525</v>
      </c>
      <c r="N850">
        <v>34814</v>
      </c>
      <c r="O850">
        <v>2724</v>
      </c>
      <c r="P850">
        <v>2698</v>
      </c>
      <c r="Q850">
        <v>29392</v>
      </c>
      <c r="S850">
        <v>0</v>
      </c>
      <c r="T850">
        <v>750</v>
      </c>
      <c r="U850">
        <v>70</v>
      </c>
      <c r="V850">
        <v>1.4749000000000001</v>
      </c>
      <c r="W850">
        <v>1.4322333332999999</v>
      </c>
      <c r="X850">
        <v>3.3613</v>
      </c>
      <c r="Z850">
        <v>10061.24</v>
      </c>
      <c r="AB850">
        <v>10064.27</v>
      </c>
      <c r="AD850">
        <v>10061.969999999999</v>
      </c>
      <c r="AF850" t="s">
        <v>182</v>
      </c>
      <c r="AG850" t="s">
        <v>185</v>
      </c>
      <c r="AI850" t="s">
        <v>186</v>
      </c>
      <c r="AJ850" t="s">
        <v>2718</v>
      </c>
      <c r="AK850" t="s">
        <v>188</v>
      </c>
    </row>
    <row r="851" spans="1:37" x14ac:dyDescent="0.3">
      <c r="A851">
        <v>8008</v>
      </c>
      <c r="B851" s="207">
        <v>46121</v>
      </c>
      <c r="C851" t="s">
        <v>438</v>
      </c>
      <c r="D851" t="s">
        <v>2719</v>
      </c>
      <c r="E851" t="s">
        <v>2720</v>
      </c>
      <c r="F851" s="207">
        <v>46812</v>
      </c>
      <c r="G851">
        <v>2.5</v>
      </c>
      <c r="H851">
        <v>245</v>
      </c>
      <c r="I851">
        <v>242410</v>
      </c>
      <c r="J851">
        <v>3.2709999999999999</v>
      </c>
      <c r="K851">
        <v>10646</v>
      </c>
      <c r="L851">
        <v>260827</v>
      </c>
      <c r="M851">
        <v>-1154</v>
      </c>
      <c r="N851">
        <v>19571</v>
      </c>
      <c r="O851">
        <v>1767</v>
      </c>
      <c r="P851">
        <v>12272</v>
      </c>
      <c r="Q851">
        <v>5532</v>
      </c>
      <c r="S851">
        <v>0</v>
      </c>
      <c r="T851">
        <v>1960</v>
      </c>
      <c r="U851">
        <v>190</v>
      </c>
      <c r="V851">
        <v>1.8895</v>
      </c>
      <c r="W851">
        <v>1.8297666666000001</v>
      </c>
      <c r="X851">
        <v>5.0894666665999999</v>
      </c>
      <c r="Z851">
        <v>10643</v>
      </c>
      <c r="AB851">
        <v>10650.68</v>
      </c>
      <c r="AD851">
        <v>10645.73</v>
      </c>
      <c r="AF851" t="s">
        <v>182</v>
      </c>
      <c r="AG851" t="s">
        <v>185</v>
      </c>
      <c r="AI851" t="s">
        <v>186</v>
      </c>
      <c r="AJ851" t="s">
        <v>2721</v>
      </c>
      <c r="AK851" t="s">
        <v>188</v>
      </c>
    </row>
    <row r="852" spans="1:37" x14ac:dyDescent="0.3">
      <c r="A852">
        <v>8008</v>
      </c>
      <c r="B852" s="207">
        <v>46121</v>
      </c>
      <c r="C852" t="s">
        <v>438</v>
      </c>
      <c r="D852" t="s">
        <v>2722</v>
      </c>
      <c r="E852" t="s">
        <v>2723</v>
      </c>
      <c r="F852" s="207">
        <v>46873</v>
      </c>
      <c r="G852">
        <v>2.5</v>
      </c>
      <c r="H852">
        <v>54666</v>
      </c>
      <c r="I852">
        <v>53979616</v>
      </c>
      <c r="J852">
        <v>3.3050000000000002</v>
      </c>
      <c r="K852">
        <v>10582</v>
      </c>
      <c r="L852">
        <v>57847561</v>
      </c>
      <c r="M852">
        <v>-255759</v>
      </c>
      <c r="N852">
        <v>4123704</v>
      </c>
      <c r="O852">
        <v>392425</v>
      </c>
      <c r="P852">
        <v>2913647</v>
      </c>
      <c r="Q852">
        <v>817632</v>
      </c>
      <c r="S852">
        <v>0</v>
      </c>
      <c r="T852">
        <v>462840</v>
      </c>
      <c r="U852">
        <v>46280</v>
      </c>
      <c r="V852">
        <v>2.0566</v>
      </c>
      <c r="W852">
        <v>1.9904999999999999</v>
      </c>
      <c r="X852">
        <v>5.8721666666000001</v>
      </c>
      <c r="Z852">
        <v>10579.74</v>
      </c>
      <c r="AB852">
        <v>10586.56</v>
      </c>
      <c r="AD852">
        <v>10581.01</v>
      </c>
      <c r="AF852" t="s">
        <v>182</v>
      </c>
      <c r="AG852" t="s">
        <v>185</v>
      </c>
      <c r="AI852" t="s">
        <v>186</v>
      </c>
      <c r="AJ852" t="s">
        <v>2724</v>
      </c>
      <c r="AK852" t="s">
        <v>188</v>
      </c>
    </row>
    <row r="853" spans="1:37" x14ac:dyDescent="0.3">
      <c r="A853">
        <v>8008</v>
      </c>
      <c r="B853" s="207">
        <v>46121</v>
      </c>
      <c r="C853" t="s">
        <v>438</v>
      </c>
      <c r="D853" t="s">
        <v>2725</v>
      </c>
      <c r="E853" t="s">
        <v>2726</v>
      </c>
      <c r="F853" s="207">
        <v>46965</v>
      </c>
      <c r="G853">
        <v>2.5</v>
      </c>
      <c r="H853">
        <v>68288</v>
      </c>
      <c r="I853">
        <v>67227631</v>
      </c>
      <c r="J853">
        <v>3.3410000000000002</v>
      </c>
      <c r="K853">
        <v>10486</v>
      </c>
      <c r="L853">
        <v>71606796</v>
      </c>
      <c r="M853">
        <v>-316451</v>
      </c>
      <c r="N853">
        <v>4695616</v>
      </c>
      <c r="O853">
        <v>487171</v>
      </c>
      <c r="P853">
        <v>4065476</v>
      </c>
      <c r="Q853">
        <v>142969</v>
      </c>
      <c r="S853">
        <v>0</v>
      </c>
      <c r="T853">
        <v>637370</v>
      </c>
      <c r="U853">
        <v>63730</v>
      </c>
      <c r="V853">
        <v>2.3086666666000002</v>
      </c>
      <c r="W853">
        <v>2.2354333333</v>
      </c>
      <c r="X853">
        <v>7.0929333333000004</v>
      </c>
      <c r="Z853">
        <v>10485.34</v>
      </c>
      <c r="AB853">
        <v>10490.35</v>
      </c>
      <c r="AD853">
        <v>10484.4</v>
      </c>
      <c r="AF853" t="s">
        <v>182</v>
      </c>
      <c r="AG853" t="s">
        <v>185</v>
      </c>
      <c r="AI853" t="s">
        <v>186</v>
      </c>
      <c r="AJ853" t="s">
        <v>2727</v>
      </c>
      <c r="AK853" t="s">
        <v>188</v>
      </c>
    </row>
    <row r="854" spans="1:37" x14ac:dyDescent="0.3">
      <c r="A854">
        <v>8008</v>
      </c>
      <c r="B854" s="207">
        <v>46121</v>
      </c>
      <c r="C854" t="s">
        <v>438</v>
      </c>
      <c r="D854" t="s">
        <v>2728</v>
      </c>
      <c r="E854" t="s">
        <v>2729</v>
      </c>
      <c r="F854" s="207">
        <v>47087</v>
      </c>
      <c r="G854">
        <v>2.5</v>
      </c>
      <c r="H854">
        <v>32333</v>
      </c>
      <c r="I854">
        <v>31699211</v>
      </c>
      <c r="J854">
        <v>3.4239999999999999</v>
      </c>
      <c r="K854">
        <v>10350</v>
      </c>
      <c r="L854">
        <v>33464655</v>
      </c>
      <c r="M854">
        <v>-173802</v>
      </c>
      <c r="N854">
        <v>1939246</v>
      </c>
      <c r="O854">
        <v>228771</v>
      </c>
      <c r="P854">
        <v>1646737</v>
      </c>
      <c r="Q854">
        <v>63738</v>
      </c>
      <c r="S854">
        <v>0</v>
      </c>
      <c r="T854">
        <v>262550</v>
      </c>
      <c r="U854">
        <v>26240</v>
      </c>
      <c r="V854">
        <v>2.6429</v>
      </c>
      <c r="W854">
        <v>2.5570333333000002</v>
      </c>
      <c r="X854">
        <v>8.9396666666000009</v>
      </c>
      <c r="Z854">
        <v>10348.48</v>
      </c>
      <c r="AB854">
        <v>10353.59</v>
      </c>
      <c r="AD854">
        <v>10348.209999999999</v>
      </c>
      <c r="AF854" t="s">
        <v>182</v>
      </c>
      <c r="AG854" t="s">
        <v>185</v>
      </c>
      <c r="AI854" t="s">
        <v>186</v>
      </c>
      <c r="AJ854" t="s">
        <v>2730</v>
      </c>
      <c r="AK854" t="s">
        <v>188</v>
      </c>
    </row>
    <row r="855" spans="1:37" x14ac:dyDescent="0.3">
      <c r="A855">
        <v>8008</v>
      </c>
      <c r="B855" s="207">
        <v>46121</v>
      </c>
      <c r="C855" t="s">
        <v>438</v>
      </c>
      <c r="D855" t="s">
        <v>2731</v>
      </c>
      <c r="E855" t="s">
        <v>2732</v>
      </c>
      <c r="F855" s="207">
        <v>47149</v>
      </c>
      <c r="G855">
        <v>2.5</v>
      </c>
      <c r="H855">
        <v>82607</v>
      </c>
      <c r="I855">
        <v>80839633</v>
      </c>
      <c r="J855">
        <v>3.4849999999999999</v>
      </c>
      <c r="K855">
        <v>10274</v>
      </c>
      <c r="L855">
        <v>84870430</v>
      </c>
      <c r="M855">
        <v>-557250</v>
      </c>
      <c r="N855">
        <v>4588047</v>
      </c>
      <c r="O855">
        <v>582033</v>
      </c>
      <c r="P855">
        <v>3631984</v>
      </c>
      <c r="Q855">
        <v>374030</v>
      </c>
      <c r="S855">
        <v>0</v>
      </c>
      <c r="T855">
        <v>589930</v>
      </c>
      <c r="U855">
        <v>58960</v>
      </c>
      <c r="V855">
        <v>2.8128000000000002</v>
      </c>
      <c r="W855">
        <v>2.7187999999999999</v>
      </c>
      <c r="X855">
        <v>9.9726666666000003</v>
      </c>
      <c r="Z855">
        <v>10273.299999999999</v>
      </c>
      <c r="AB855">
        <v>10277.01</v>
      </c>
      <c r="AD855">
        <v>10272.74</v>
      </c>
      <c r="AF855" t="s">
        <v>182</v>
      </c>
      <c r="AG855" t="s">
        <v>185</v>
      </c>
      <c r="AI855" t="s">
        <v>186</v>
      </c>
      <c r="AJ855" t="s">
        <v>2733</v>
      </c>
      <c r="AK855" t="s">
        <v>188</v>
      </c>
    </row>
    <row r="856" spans="1:37" x14ac:dyDescent="0.3">
      <c r="A856">
        <v>8008</v>
      </c>
      <c r="B856" s="207">
        <v>46121</v>
      </c>
      <c r="C856" t="s">
        <v>438</v>
      </c>
      <c r="D856" t="s">
        <v>2734</v>
      </c>
      <c r="E856" t="s">
        <v>2735</v>
      </c>
      <c r="F856" s="207">
        <v>47177</v>
      </c>
      <c r="G856">
        <v>2.5</v>
      </c>
      <c r="H856">
        <v>231</v>
      </c>
      <c r="I856">
        <v>225870</v>
      </c>
      <c r="J856">
        <v>3.512</v>
      </c>
      <c r="K856">
        <v>10239</v>
      </c>
      <c r="L856">
        <v>236520</v>
      </c>
      <c r="M856">
        <v>-1718</v>
      </c>
      <c r="N856">
        <v>12368</v>
      </c>
      <c r="O856">
        <v>1625</v>
      </c>
      <c r="P856">
        <v>9536</v>
      </c>
      <c r="Q856">
        <v>1207</v>
      </c>
      <c r="S856">
        <v>0</v>
      </c>
      <c r="T856">
        <v>1560</v>
      </c>
      <c r="U856">
        <v>150</v>
      </c>
      <c r="V856">
        <v>2.8895</v>
      </c>
      <c r="W856">
        <v>2.7916666665999998</v>
      </c>
      <c r="X856">
        <v>10.4600333333</v>
      </c>
      <c r="Z856">
        <v>10239.19</v>
      </c>
      <c r="AB856">
        <v>10242.129999999999</v>
      </c>
      <c r="AD856">
        <v>10238.34</v>
      </c>
      <c r="AF856" t="s">
        <v>182</v>
      </c>
      <c r="AG856" t="s">
        <v>185</v>
      </c>
      <c r="AI856" t="s">
        <v>186</v>
      </c>
      <c r="AJ856" t="s">
        <v>2736</v>
      </c>
      <c r="AK856" t="s">
        <v>188</v>
      </c>
    </row>
    <row r="857" spans="1:37" x14ac:dyDescent="0.3">
      <c r="A857">
        <v>8008</v>
      </c>
      <c r="B857" s="207">
        <v>46121</v>
      </c>
      <c r="C857" t="s">
        <v>438</v>
      </c>
      <c r="D857" t="s">
        <v>2737</v>
      </c>
      <c r="E857" t="s">
        <v>2738</v>
      </c>
      <c r="F857" s="207">
        <v>47208</v>
      </c>
      <c r="G857">
        <v>2.5</v>
      </c>
      <c r="H857">
        <v>4702</v>
      </c>
      <c r="I857">
        <v>4593298</v>
      </c>
      <c r="J857">
        <v>3.5419999999999998</v>
      </c>
      <c r="K857">
        <v>10201</v>
      </c>
      <c r="L857">
        <v>4796509</v>
      </c>
      <c r="M857">
        <v>-38170</v>
      </c>
      <c r="N857">
        <v>241381</v>
      </c>
      <c r="O857">
        <v>32998</v>
      </c>
      <c r="P857">
        <v>193664</v>
      </c>
      <c r="Q857">
        <v>14719</v>
      </c>
      <c r="S857">
        <v>0</v>
      </c>
      <c r="T857">
        <v>31720</v>
      </c>
      <c r="U857">
        <v>3160</v>
      </c>
      <c r="V857">
        <v>2.9744000000000002</v>
      </c>
      <c r="W857">
        <v>2.8720666665999999</v>
      </c>
      <c r="X857">
        <v>11.0145666666</v>
      </c>
      <c r="Z857">
        <v>10202.31</v>
      </c>
      <c r="AB857">
        <v>10202.379999999999</v>
      </c>
      <c r="AD857">
        <v>10199.969999999999</v>
      </c>
      <c r="AF857" t="s">
        <v>182</v>
      </c>
      <c r="AG857" t="s">
        <v>185</v>
      </c>
      <c r="AI857" t="s">
        <v>186</v>
      </c>
      <c r="AJ857" t="s">
        <v>2739</v>
      </c>
      <c r="AK857" t="s">
        <v>188</v>
      </c>
    </row>
    <row r="858" spans="1:37" x14ac:dyDescent="0.3">
      <c r="A858">
        <v>8008</v>
      </c>
      <c r="B858" s="207">
        <v>46121</v>
      </c>
      <c r="C858" t="s">
        <v>438</v>
      </c>
      <c r="D858" t="s">
        <v>2740</v>
      </c>
      <c r="E858" t="s">
        <v>2741</v>
      </c>
      <c r="F858" s="207">
        <v>47238</v>
      </c>
      <c r="G858">
        <v>2.5</v>
      </c>
      <c r="H858">
        <v>279</v>
      </c>
      <c r="I858">
        <v>272331</v>
      </c>
      <c r="J858">
        <v>3.552</v>
      </c>
      <c r="K858">
        <v>10169</v>
      </c>
      <c r="L858">
        <v>283715</v>
      </c>
      <c r="M858">
        <v>-2344</v>
      </c>
      <c r="N858">
        <v>13728</v>
      </c>
      <c r="O858">
        <v>1954</v>
      </c>
      <c r="P858">
        <v>8146</v>
      </c>
      <c r="Q858">
        <v>3628</v>
      </c>
      <c r="S858">
        <v>0</v>
      </c>
      <c r="T858">
        <v>1410</v>
      </c>
      <c r="U858">
        <v>140</v>
      </c>
      <c r="V858">
        <v>3.0566</v>
      </c>
      <c r="W858">
        <v>2.9514999999999998</v>
      </c>
      <c r="X858">
        <v>11.544766666599999</v>
      </c>
      <c r="Z858">
        <v>10169.42</v>
      </c>
      <c r="AB858">
        <v>10170.39</v>
      </c>
      <c r="AD858">
        <v>10167.92</v>
      </c>
      <c r="AF858" t="s">
        <v>182</v>
      </c>
      <c r="AG858" t="s">
        <v>185</v>
      </c>
      <c r="AI858" t="s">
        <v>186</v>
      </c>
      <c r="AJ858" t="s">
        <v>2742</v>
      </c>
      <c r="AK858" t="s">
        <v>188</v>
      </c>
    </row>
    <row r="859" spans="1:37" x14ac:dyDescent="0.3">
      <c r="A859">
        <v>8008</v>
      </c>
      <c r="B859" s="207">
        <v>46121</v>
      </c>
      <c r="C859" t="s">
        <v>438</v>
      </c>
      <c r="D859" t="s">
        <v>2743</v>
      </c>
      <c r="E859" t="s">
        <v>2744</v>
      </c>
      <c r="F859" s="207">
        <v>47269</v>
      </c>
      <c r="G859">
        <v>2.5</v>
      </c>
      <c r="H859">
        <v>43043</v>
      </c>
      <c r="I859">
        <v>41974779</v>
      </c>
      <c r="J859">
        <v>3.5539999999999998</v>
      </c>
      <c r="K859">
        <v>10138</v>
      </c>
      <c r="L859">
        <v>43636993</v>
      </c>
      <c r="M859">
        <v>-361081</v>
      </c>
      <c r="N859">
        <v>2023295</v>
      </c>
      <c r="O859">
        <v>300821</v>
      </c>
      <c r="P859">
        <v>1646802</v>
      </c>
      <c r="Q859">
        <v>75672</v>
      </c>
      <c r="S859">
        <v>0</v>
      </c>
      <c r="T859">
        <v>272660</v>
      </c>
      <c r="U859">
        <v>27260</v>
      </c>
      <c r="V859">
        <v>3.1415666666000002</v>
      </c>
      <c r="W859">
        <v>3.0341999999999998</v>
      </c>
      <c r="X859">
        <v>12.098100000000001</v>
      </c>
      <c r="Z859">
        <v>10137.969999999999</v>
      </c>
      <c r="AB859">
        <v>10139.58</v>
      </c>
      <c r="AD859">
        <v>10136.73</v>
      </c>
      <c r="AF859" t="s">
        <v>182</v>
      </c>
      <c r="AG859" t="s">
        <v>185</v>
      </c>
      <c r="AI859" t="s">
        <v>186</v>
      </c>
      <c r="AJ859" t="s">
        <v>2745</v>
      </c>
      <c r="AK859" t="s">
        <v>188</v>
      </c>
    </row>
    <row r="860" spans="1:37" x14ac:dyDescent="0.3">
      <c r="A860">
        <v>8008</v>
      </c>
      <c r="B860" s="207">
        <v>46121</v>
      </c>
      <c r="C860" t="s">
        <v>438</v>
      </c>
      <c r="D860" t="s">
        <v>2746</v>
      </c>
      <c r="E860" t="s">
        <v>2747</v>
      </c>
      <c r="F860" s="207">
        <v>47299</v>
      </c>
      <c r="G860">
        <v>2.5</v>
      </c>
      <c r="H860">
        <v>4434</v>
      </c>
      <c r="I860">
        <v>4320006</v>
      </c>
      <c r="J860">
        <v>3.5569999999999999</v>
      </c>
      <c r="K860">
        <v>10107</v>
      </c>
      <c r="L860">
        <v>4481443</v>
      </c>
      <c r="M860">
        <v>-37576</v>
      </c>
      <c r="N860">
        <v>199013</v>
      </c>
      <c r="O860">
        <v>30925</v>
      </c>
      <c r="P860">
        <v>158788</v>
      </c>
      <c r="Q860">
        <v>9300</v>
      </c>
      <c r="S860">
        <v>0</v>
      </c>
      <c r="T860">
        <v>26550</v>
      </c>
      <c r="U860">
        <v>2650</v>
      </c>
      <c r="V860">
        <v>3.2237666666</v>
      </c>
      <c r="W860">
        <v>3.1140666665999999</v>
      </c>
      <c r="X860">
        <v>12.649900000000001</v>
      </c>
      <c r="Z860">
        <v>10107.32</v>
      </c>
      <c r="AB860">
        <v>10109.91</v>
      </c>
      <c r="AD860">
        <v>10106.370000000001</v>
      </c>
      <c r="AF860" t="s">
        <v>182</v>
      </c>
      <c r="AG860" t="s">
        <v>185</v>
      </c>
      <c r="AI860" t="s">
        <v>186</v>
      </c>
      <c r="AJ860" t="s">
        <v>2748</v>
      </c>
      <c r="AK860" t="s">
        <v>188</v>
      </c>
    </row>
    <row r="861" spans="1:37" x14ac:dyDescent="0.3">
      <c r="A861">
        <v>8008</v>
      </c>
      <c r="B861" s="207">
        <v>46121</v>
      </c>
      <c r="C861" t="s">
        <v>438</v>
      </c>
      <c r="D861" t="s">
        <v>2749</v>
      </c>
      <c r="E861" t="s">
        <v>2750</v>
      </c>
      <c r="F861" s="207">
        <v>47330</v>
      </c>
      <c r="G861">
        <v>2.5</v>
      </c>
      <c r="H861">
        <v>5304</v>
      </c>
      <c r="I861">
        <v>5163261</v>
      </c>
      <c r="J861">
        <v>3.5590000000000002</v>
      </c>
      <c r="K861">
        <v>10077</v>
      </c>
      <c r="L861">
        <v>5344840</v>
      </c>
      <c r="M861">
        <v>-44872</v>
      </c>
      <c r="N861">
        <v>226451</v>
      </c>
      <c r="O861">
        <v>36916</v>
      </c>
      <c r="P861">
        <v>168565</v>
      </c>
      <c r="Q861">
        <v>20970</v>
      </c>
      <c r="S861">
        <v>0</v>
      </c>
      <c r="T861">
        <v>28760</v>
      </c>
      <c r="U861">
        <v>2870</v>
      </c>
      <c r="V861">
        <v>3.3086666666000002</v>
      </c>
      <c r="W861">
        <v>3.1964999999999999</v>
      </c>
      <c r="X861">
        <v>13.2372</v>
      </c>
      <c r="Z861">
        <v>10076.129999999999</v>
      </c>
      <c r="AB861">
        <v>10079.75</v>
      </c>
      <c r="AD861">
        <v>10075.48</v>
      </c>
      <c r="AF861" t="s">
        <v>182</v>
      </c>
      <c r="AG861" t="s">
        <v>185</v>
      </c>
      <c r="AI861" t="s">
        <v>186</v>
      </c>
      <c r="AJ861" t="s">
        <v>2751</v>
      </c>
      <c r="AK861" t="s">
        <v>188</v>
      </c>
    </row>
    <row r="862" spans="1:37" x14ac:dyDescent="0.3">
      <c r="A862">
        <v>8008</v>
      </c>
      <c r="B862" s="207">
        <v>46121</v>
      </c>
      <c r="C862" t="s">
        <v>438</v>
      </c>
      <c r="D862" t="s">
        <v>2752</v>
      </c>
      <c r="E862" t="s">
        <v>2753</v>
      </c>
      <c r="F862" s="207">
        <v>47391</v>
      </c>
      <c r="G862">
        <v>2.5</v>
      </c>
      <c r="H862">
        <v>9239</v>
      </c>
      <c r="I862">
        <v>8977821</v>
      </c>
      <c r="J862">
        <v>3.5619999999999998</v>
      </c>
      <c r="K862">
        <v>10016</v>
      </c>
      <c r="L862">
        <v>9253781</v>
      </c>
      <c r="M862">
        <v>-78821</v>
      </c>
      <c r="N862">
        <v>354781</v>
      </c>
      <c r="O862">
        <v>64039</v>
      </c>
      <c r="P862">
        <v>263118</v>
      </c>
      <c r="Q862">
        <v>27624</v>
      </c>
      <c r="S862">
        <v>0</v>
      </c>
      <c r="T862">
        <v>45780</v>
      </c>
      <c r="U862">
        <v>4560</v>
      </c>
      <c r="V862">
        <v>3.4758</v>
      </c>
      <c r="W862">
        <v>3.3581333333000001</v>
      </c>
      <c r="X862">
        <v>14.4421666666</v>
      </c>
      <c r="Z862">
        <v>10015.120000000001</v>
      </c>
      <c r="AB862">
        <v>10020.58</v>
      </c>
      <c r="AD862">
        <v>10015.120000000001</v>
      </c>
      <c r="AF862" t="s">
        <v>182</v>
      </c>
      <c r="AG862" t="s">
        <v>185</v>
      </c>
      <c r="AI862" t="s">
        <v>186</v>
      </c>
      <c r="AJ862" t="s">
        <v>2754</v>
      </c>
      <c r="AK862" t="s">
        <v>188</v>
      </c>
    </row>
    <row r="863" spans="1:37" x14ac:dyDescent="0.3">
      <c r="A863">
        <v>8008</v>
      </c>
      <c r="B863" s="207">
        <v>46121</v>
      </c>
      <c r="C863" t="s">
        <v>438</v>
      </c>
      <c r="D863" t="s">
        <v>2755</v>
      </c>
      <c r="E863" t="s">
        <v>2756</v>
      </c>
      <c r="F863" s="207">
        <v>47483</v>
      </c>
      <c r="G863">
        <v>2.5</v>
      </c>
      <c r="H863">
        <v>252</v>
      </c>
      <c r="I863">
        <v>244221</v>
      </c>
      <c r="J863">
        <v>3.57</v>
      </c>
      <c r="K863">
        <v>9926</v>
      </c>
      <c r="L863">
        <v>250135</v>
      </c>
      <c r="M863">
        <v>-2139</v>
      </c>
      <c r="N863">
        <v>8053</v>
      </c>
      <c r="O863">
        <v>1736</v>
      </c>
      <c r="P863">
        <v>5787</v>
      </c>
      <c r="Q863">
        <v>530</v>
      </c>
      <c r="S863">
        <v>0</v>
      </c>
      <c r="T863">
        <v>1050</v>
      </c>
      <c r="U863">
        <v>100</v>
      </c>
      <c r="V863">
        <v>3.7278666666000002</v>
      </c>
      <c r="W863">
        <v>3.6006666666</v>
      </c>
      <c r="X863">
        <v>16.380533333300001</v>
      </c>
      <c r="Z863">
        <v>9921.9599999999991</v>
      </c>
      <c r="AB863">
        <v>9932.41</v>
      </c>
      <c r="AD863">
        <v>9924.82</v>
      </c>
      <c r="AF863" t="s">
        <v>182</v>
      </c>
      <c r="AG863" t="s">
        <v>185</v>
      </c>
      <c r="AI863" t="s">
        <v>186</v>
      </c>
      <c r="AJ863" t="s">
        <v>2757</v>
      </c>
      <c r="AK863" t="s">
        <v>188</v>
      </c>
    </row>
    <row r="864" spans="1:37" x14ac:dyDescent="0.3">
      <c r="A864">
        <v>8008</v>
      </c>
      <c r="B864" s="207">
        <v>46121</v>
      </c>
      <c r="C864" t="s">
        <v>438</v>
      </c>
      <c r="D864" t="s">
        <v>2758</v>
      </c>
      <c r="E864" t="s">
        <v>2759</v>
      </c>
      <c r="F864" s="207">
        <v>47573</v>
      </c>
      <c r="G864">
        <v>2.5</v>
      </c>
      <c r="H864">
        <v>18141</v>
      </c>
      <c r="I864">
        <v>17516097</v>
      </c>
      <c r="J864">
        <v>3.5790000000000002</v>
      </c>
      <c r="K864">
        <v>9838</v>
      </c>
      <c r="L864">
        <v>17847115</v>
      </c>
      <c r="M864">
        <v>-135089</v>
      </c>
      <c r="N864">
        <v>466107</v>
      </c>
      <c r="O864">
        <v>124204</v>
      </c>
      <c r="P864">
        <v>300270</v>
      </c>
      <c r="Q864">
        <v>41633</v>
      </c>
      <c r="S864">
        <v>0</v>
      </c>
      <c r="T864">
        <v>59410</v>
      </c>
      <c r="U864">
        <v>5930</v>
      </c>
      <c r="V864">
        <v>3.9744000000000002</v>
      </c>
      <c r="W864">
        <v>3.8365</v>
      </c>
      <c r="X864">
        <v>18.414633333299999</v>
      </c>
      <c r="Z864">
        <v>9830.84</v>
      </c>
      <c r="AB864">
        <v>9847.52</v>
      </c>
      <c r="AD864">
        <v>9837.6299999999992</v>
      </c>
      <c r="AF864" t="s">
        <v>182</v>
      </c>
      <c r="AG864" t="s">
        <v>185</v>
      </c>
      <c r="AI864" t="s">
        <v>186</v>
      </c>
      <c r="AJ864" t="s">
        <v>2760</v>
      </c>
      <c r="AK864" t="s">
        <v>188</v>
      </c>
    </row>
    <row r="865" spans="1:37" x14ac:dyDescent="0.3">
      <c r="A865">
        <v>8008</v>
      </c>
      <c r="B865" s="207">
        <v>46121</v>
      </c>
      <c r="C865" t="s">
        <v>438</v>
      </c>
      <c r="D865" t="s">
        <v>2761</v>
      </c>
      <c r="E865" t="s">
        <v>2762</v>
      </c>
      <c r="F865" s="207">
        <v>47664</v>
      </c>
      <c r="G865">
        <v>2.5</v>
      </c>
      <c r="H865">
        <v>6500</v>
      </c>
      <c r="I865">
        <v>6253039</v>
      </c>
      <c r="J865">
        <v>3.6059999999999999</v>
      </c>
      <c r="K865">
        <v>9741</v>
      </c>
      <c r="L865">
        <v>6331650</v>
      </c>
      <c r="M865">
        <v>-47480</v>
      </c>
      <c r="N865">
        <v>126091</v>
      </c>
      <c r="O865">
        <v>44230</v>
      </c>
      <c r="P865">
        <v>65130</v>
      </c>
      <c r="Q865">
        <v>16731</v>
      </c>
      <c r="S865">
        <v>0</v>
      </c>
      <c r="T865">
        <v>15310</v>
      </c>
      <c r="U865">
        <v>1530</v>
      </c>
      <c r="V865">
        <v>4.2237666666000004</v>
      </c>
      <c r="W865">
        <v>4.0778666666000003</v>
      </c>
      <c r="X865">
        <v>20.509933333300001</v>
      </c>
      <c r="Z865">
        <v>9732.91</v>
      </c>
      <c r="AB865">
        <v>9748.8799999999992</v>
      </c>
      <c r="AD865">
        <v>9742.0499999999993</v>
      </c>
      <c r="AF865" t="s">
        <v>182</v>
      </c>
      <c r="AG865" t="s">
        <v>185</v>
      </c>
      <c r="AI865" t="s">
        <v>186</v>
      </c>
      <c r="AJ865" t="s">
        <v>2763</v>
      </c>
      <c r="AK865" t="s">
        <v>188</v>
      </c>
    </row>
    <row r="866" spans="1:37" x14ac:dyDescent="0.3">
      <c r="A866">
        <v>8008</v>
      </c>
      <c r="B866" s="207">
        <v>46121</v>
      </c>
      <c r="C866" t="s">
        <v>438</v>
      </c>
      <c r="D866" t="s">
        <v>2764</v>
      </c>
      <c r="E866" t="s">
        <v>2765</v>
      </c>
      <c r="F866" s="207">
        <v>47817</v>
      </c>
      <c r="G866">
        <v>2</v>
      </c>
      <c r="H866">
        <v>414</v>
      </c>
      <c r="I866">
        <v>386371</v>
      </c>
      <c r="J866">
        <v>3.6509999999999998</v>
      </c>
      <c r="K866">
        <v>9345</v>
      </c>
      <c r="L866">
        <v>386883</v>
      </c>
      <c r="M866">
        <v>-2440</v>
      </c>
      <c r="N866">
        <v>2952</v>
      </c>
      <c r="O866">
        <v>2233</v>
      </c>
      <c r="P866">
        <v>53</v>
      </c>
      <c r="Q866">
        <v>666</v>
      </c>
      <c r="S866">
        <v>0</v>
      </c>
      <c r="T866">
        <v>320</v>
      </c>
      <c r="U866">
        <v>30</v>
      </c>
      <c r="V866">
        <v>4.6429</v>
      </c>
      <c r="W866">
        <v>4.4810999999999996</v>
      </c>
      <c r="X866">
        <v>24.332899999999999</v>
      </c>
      <c r="Z866">
        <v>9339.73</v>
      </c>
      <c r="AB866">
        <v>9349.64</v>
      </c>
      <c r="AD866">
        <v>9348.5400000000009</v>
      </c>
      <c r="AF866" t="s">
        <v>182</v>
      </c>
      <c r="AG866" t="s">
        <v>185</v>
      </c>
      <c r="AI866" t="s">
        <v>186</v>
      </c>
      <c r="AJ866" t="s">
        <v>2766</v>
      </c>
      <c r="AK866" t="s">
        <v>188</v>
      </c>
    </row>
    <row r="867" spans="1:37" x14ac:dyDescent="0.3">
      <c r="A867">
        <v>8008</v>
      </c>
      <c r="B867" s="207">
        <v>46121</v>
      </c>
      <c r="C867" t="s">
        <v>438</v>
      </c>
      <c r="D867" t="s">
        <v>2767</v>
      </c>
      <c r="E867" t="s">
        <v>2768</v>
      </c>
      <c r="F867" s="207">
        <v>47848</v>
      </c>
      <c r="G867">
        <v>2</v>
      </c>
      <c r="H867">
        <v>140</v>
      </c>
      <c r="I867">
        <v>129228</v>
      </c>
      <c r="J867">
        <v>3.661</v>
      </c>
      <c r="K867">
        <v>9313</v>
      </c>
      <c r="L867">
        <v>130382</v>
      </c>
      <c r="M867">
        <v>393</v>
      </c>
      <c r="N867">
        <v>761</v>
      </c>
      <c r="O867">
        <v>533</v>
      </c>
      <c r="P867">
        <v>0</v>
      </c>
      <c r="Q867">
        <v>228</v>
      </c>
      <c r="S867">
        <v>0</v>
      </c>
      <c r="T867">
        <v>70</v>
      </c>
      <c r="U867">
        <v>0</v>
      </c>
      <c r="V867">
        <v>4.7278666665999998</v>
      </c>
      <c r="W867">
        <v>4.5622333333</v>
      </c>
      <c r="X867">
        <v>25.154666666600001</v>
      </c>
      <c r="Z867">
        <v>9307.58</v>
      </c>
      <c r="AB867">
        <v>9316.77</v>
      </c>
      <c r="AD867">
        <v>9316.51</v>
      </c>
      <c r="AF867" t="s">
        <v>182</v>
      </c>
      <c r="AG867" t="s">
        <v>185</v>
      </c>
      <c r="AI867" t="s">
        <v>186</v>
      </c>
      <c r="AJ867" t="s">
        <v>2769</v>
      </c>
      <c r="AK867" t="s">
        <v>188</v>
      </c>
    </row>
    <row r="868" spans="1:37" x14ac:dyDescent="0.3">
      <c r="A868">
        <v>8008</v>
      </c>
      <c r="B868" s="207">
        <v>46121</v>
      </c>
      <c r="C868" t="s">
        <v>438</v>
      </c>
      <c r="D868" t="s">
        <v>3386</v>
      </c>
      <c r="E868" t="s">
        <v>3387</v>
      </c>
      <c r="F868" s="207">
        <v>47968</v>
      </c>
      <c r="G868">
        <v>2</v>
      </c>
      <c r="H868">
        <v>26865</v>
      </c>
      <c r="I868">
        <v>24548746</v>
      </c>
      <c r="J868">
        <v>3.7010000000000001</v>
      </c>
      <c r="K868">
        <v>9187</v>
      </c>
      <c r="L868">
        <v>24680875</v>
      </c>
      <c r="M868">
        <v>132129</v>
      </c>
      <c r="N868">
        <v>0</v>
      </c>
      <c r="O868">
        <v>0</v>
      </c>
      <c r="P868">
        <v>0</v>
      </c>
      <c r="Q868">
        <v>0</v>
      </c>
      <c r="S868">
        <v>0</v>
      </c>
      <c r="T868">
        <v>0</v>
      </c>
      <c r="U868">
        <v>0</v>
      </c>
      <c r="V868">
        <v>5.0566000000000004</v>
      </c>
      <c r="W868">
        <v>4.8758666666000003</v>
      </c>
      <c r="X868">
        <v>28.459566666600001</v>
      </c>
      <c r="Z868">
        <v>9177.61</v>
      </c>
      <c r="AB868">
        <v>9189.0300000000007</v>
      </c>
      <c r="AD868">
        <v>9195.08</v>
      </c>
      <c r="AF868" t="s">
        <v>182</v>
      </c>
      <c r="AG868" t="s">
        <v>185</v>
      </c>
      <c r="AI868" t="s">
        <v>186</v>
      </c>
      <c r="AJ868" t="s">
        <v>3388</v>
      </c>
      <c r="AK868" t="s">
        <v>188</v>
      </c>
    </row>
    <row r="869" spans="1:37" x14ac:dyDescent="0.3">
      <c r="A869">
        <v>8008</v>
      </c>
      <c r="B869" s="207">
        <v>46121</v>
      </c>
      <c r="C869" t="s">
        <v>438</v>
      </c>
      <c r="D869" t="s">
        <v>2770</v>
      </c>
      <c r="E869" t="s">
        <v>2771</v>
      </c>
      <c r="F869" s="207">
        <v>47634</v>
      </c>
      <c r="G869">
        <v>2.5</v>
      </c>
      <c r="H869">
        <v>9427</v>
      </c>
      <c r="I869">
        <v>9079603</v>
      </c>
      <c r="J869">
        <v>3.597</v>
      </c>
      <c r="K869">
        <v>9773</v>
      </c>
      <c r="L869">
        <v>9213007</v>
      </c>
      <c r="M869">
        <v>-68990</v>
      </c>
      <c r="N869">
        <v>202394</v>
      </c>
      <c r="O869">
        <v>64277</v>
      </c>
      <c r="P869">
        <v>118331</v>
      </c>
      <c r="Q869">
        <v>19786</v>
      </c>
      <c r="S869">
        <v>0</v>
      </c>
      <c r="T869">
        <v>25560</v>
      </c>
      <c r="U869">
        <v>2550</v>
      </c>
      <c r="V869">
        <v>4.1415666666000002</v>
      </c>
      <c r="W869">
        <v>3.9982333333</v>
      </c>
      <c r="X869">
        <v>19.807133333300001</v>
      </c>
      <c r="Z869">
        <v>9764.9</v>
      </c>
      <c r="AB869">
        <v>9781.7800000000007</v>
      </c>
      <c r="AD869">
        <v>9773.89</v>
      </c>
      <c r="AF869" t="s">
        <v>182</v>
      </c>
      <c r="AG869" t="s">
        <v>185</v>
      </c>
      <c r="AI869" t="s">
        <v>186</v>
      </c>
      <c r="AJ869" t="s">
        <v>2772</v>
      </c>
      <c r="AK869" t="s">
        <v>188</v>
      </c>
    </row>
    <row r="870" spans="1:37" x14ac:dyDescent="0.3">
      <c r="A870">
        <v>8008</v>
      </c>
      <c r="B870" s="207">
        <v>46121</v>
      </c>
      <c r="C870" t="s">
        <v>438</v>
      </c>
      <c r="D870" t="s">
        <v>2773</v>
      </c>
      <c r="E870" t="s">
        <v>2774</v>
      </c>
      <c r="F870" s="207">
        <v>47879</v>
      </c>
      <c r="G870">
        <v>2</v>
      </c>
      <c r="H870">
        <v>2020</v>
      </c>
      <c r="I870">
        <v>1870419</v>
      </c>
      <c r="J870">
        <v>3.6709999999999998</v>
      </c>
      <c r="K870">
        <v>9281</v>
      </c>
      <c r="L870">
        <v>1874762</v>
      </c>
      <c r="M870">
        <v>-3233</v>
      </c>
      <c r="N870">
        <v>7576</v>
      </c>
      <c r="O870">
        <v>4647</v>
      </c>
      <c r="P870">
        <v>0</v>
      </c>
      <c r="Q870">
        <v>2929</v>
      </c>
      <c r="S870">
        <v>0</v>
      </c>
      <c r="T870">
        <v>650</v>
      </c>
      <c r="U870">
        <v>60</v>
      </c>
      <c r="V870">
        <v>4.8128000000000002</v>
      </c>
      <c r="W870">
        <v>4.6432000000000002</v>
      </c>
      <c r="X870">
        <v>25.9916666666</v>
      </c>
      <c r="Z870">
        <v>9274.6299999999992</v>
      </c>
      <c r="AB870">
        <v>9283.5</v>
      </c>
      <c r="AD870">
        <v>9284.98</v>
      </c>
      <c r="AF870" t="s">
        <v>182</v>
      </c>
      <c r="AG870" t="s">
        <v>185</v>
      </c>
      <c r="AI870" t="s">
        <v>186</v>
      </c>
      <c r="AJ870" t="s">
        <v>2775</v>
      </c>
      <c r="AK870" t="s">
        <v>188</v>
      </c>
    </row>
    <row r="871" spans="1:37" x14ac:dyDescent="0.3">
      <c r="A871">
        <v>8008</v>
      </c>
      <c r="B871" s="207">
        <v>46121</v>
      </c>
      <c r="C871" t="s">
        <v>438</v>
      </c>
      <c r="D871" t="s">
        <v>2776</v>
      </c>
      <c r="E871" t="s">
        <v>2777</v>
      </c>
      <c r="F871" s="207">
        <v>46265</v>
      </c>
      <c r="G871">
        <v>1.05</v>
      </c>
      <c r="H871">
        <v>56214</v>
      </c>
      <c r="I871">
        <v>55615731</v>
      </c>
      <c r="J871">
        <v>2.7730000000000001</v>
      </c>
      <c r="K871">
        <v>10422</v>
      </c>
      <c r="L871">
        <v>58586230</v>
      </c>
      <c r="M871">
        <v>198514</v>
      </c>
      <c r="N871">
        <v>2771985</v>
      </c>
      <c r="O871">
        <v>166877</v>
      </c>
      <c r="P871">
        <v>2556827</v>
      </c>
      <c r="Q871">
        <v>48281</v>
      </c>
      <c r="S871">
        <v>0</v>
      </c>
      <c r="T871">
        <v>381310</v>
      </c>
      <c r="U871">
        <v>38130</v>
      </c>
      <c r="V871">
        <v>0.39269999999999999</v>
      </c>
      <c r="W871">
        <v>0.38419999999999999</v>
      </c>
      <c r="X871">
        <v>0.44579999999999997</v>
      </c>
      <c r="Z871">
        <v>10421.75</v>
      </c>
      <c r="AB871">
        <v>10423.59</v>
      </c>
      <c r="AD871">
        <v>10423.040000000001</v>
      </c>
      <c r="AF871" t="s">
        <v>182</v>
      </c>
      <c r="AG871" t="s">
        <v>185</v>
      </c>
      <c r="AI871" t="s">
        <v>186</v>
      </c>
      <c r="AJ871" t="s">
        <v>2778</v>
      </c>
      <c r="AK871" t="s">
        <v>188</v>
      </c>
    </row>
    <row r="872" spans="1:37" x14ac:dyDescent="0.3">
      <c r="A872">
        <v>8008</v>
      </c>
      <c r="B872" s="207">
        <v>46121</v>
      </c>
      <c r="C872" t="s">
        <v>438</v>
      </c>
      <c r="D872" t="s">
        <v>2779</v>
      </c>
      <c r="E872" t="s">
        <v>2780</v>
      </c>
      <c r="F872" s="207">
        <v>46295</v>
      </c>
      <c r="G872">
        <v>1.05</v>
      </c>
      <c r="H872">
        <v>12296</v>
      </c>
      <c r="I872">
        <v>12146668</v>
      </c>
      <c r="J872">
        <v>2.81</v>
      </c>
      <c r="K872">
        <v>10397</v>
      </c>
      <c r="L872">
        <v>12784150</v>
      </c>
      <c r="M872">
        <v>42223</v>
      </c>
      <c r="N872">
        <v>595259</v>
      </c>
      <c r="O872">
        <v>36471</v>
      </c>
      <c r="P872">
        <v>548580</v>
      </c>
      <c r="Q872">
        <v>10208</v>
      </c>
      <c r="S872">
        <v>0</v>
      </c>
      <c r="T872">
        <v>81900</v>
      </c>
      <c r="U872">
        <v>8190</v>
      </c>
      <c r="V872">
        <v>0.47489999999999999</v>
      </c>
      <c r="W872">
        <v>0.4641666666</v>
      </c>
      <c r="X872">
        <v>0.58816666660000005</v>
      </c>
      <c r="Z872">
        <v>10396.25</v>
      </c>
      <c r="AB872">
        <v>10398.09</v>
      </c>
      <c r="AD872">
        <v>10398.34</v>
      </c>
      <c r="AF872" t="s">
        <v>182</v>
      </c>
      <c r="AG872" t="s">
        <v>185</v>
      </c>
      <c r="AI872" t="s">
        <v>186</v>
      </c>
      <c r="AJ872" t="s">
        <v>2781</v>
      </c>
      <c r="AK872" t="s">
        <v>188</v>
      </c>
    </row>
    <row r="873" spans="1:37" x14ac:dyDescent="0.3">
      <c r="A873">
        <v>8008</v>
      </c>
      <c r="B873" s="207">
        <v>46121</v>
      </c>
      <c r="C873" t="s">
        <v>438</v>
      </c>
      <c r="D873" t="s">
        <v>2782</v>
      </c>
      <c r="E873" t="s">
        <v>2783</v>
      </c>
      <c r="F873" s="207">
        <v>46326</v>
      </c>
      <c r="G873">
        <v>1.05</v>
      </c>
      <c r="H873">
        <v>3329</v>
      </c>
      <c r="I873">
        <v>3284000</v>
      </c>
      <c r="J873">
        <v>2.835</v>
      </c>
      <c r="K873">
        <v>10371</v>
      </c>
      <c r="L873">
        <v>3452505</v>
      </c>
      <c r="M873">
        <v>10441</v>
      </c>
      <c r="N873">
        <v>158064</v>
      </c>
      <c r="O873">
        <v>9865</v>
      </c>
      <c r="P873">
        <v>145340</v>
      </c>
      <c r="Q873">
        <v>2859</v>
      </c>
      <c r="S873">
        <v>0</v>
      </c>
      <c r="T873">
        <v>21720</v>
      </c>
      <c r="U873">
        <v>2170</v>
      </c>
      <c r="V873">
        <v>0.55979999999999996</v>
      </c>
      <c r="W873">
        <v>0.54663333329999997</v>
      </c>
      <c r="X873">
        <v>0.75286666660000001</v>
      </c>
      <c r="Z873">
        <v>10370.69</v>
      </c>
      <c r="AB873">
        <v>10372.08</v>
      </c>
      <c r="AD873">
        <v>10372.34</v>
      </c>
      <c r="AF873" t="s">
        <v>182</v>
      </c>
      <c r="AG873" t="s">
        <v>185</v>
      </c>
      <c r="AI873" t="s">
        <v>186</v>
      </c>
      <c r="AJ873" t="s">
        <v>2784</v>
      </c>
      <c r="AK873" t="s">
        <v>188</v>
      </c>
    </row>
    <row r="874" spans="1:37" x14ac:dyDescent="0.3">
      <c r="A874">
        <v>8008</v>
      </c>
      <c r="B874" s="207">
        <v>46121</v>
      </c>
      <c r="C874" t="s">
        <v>438</v>
      </c>
      <c r="D874" t="s">
        <v>2785</v>
      </c>
      <c r="E874" t="s">
        <v>2786</v>
      </c>
      <c r="F874" s="207">
        <v>46446</v>
      </c>
      <c r="G874">
        <v>1.05</v>
      </c>
      <c r="H874">
        <v>14886</v>
      </c>
      <c r="I874">
        <v>14592196</v>
      </c>
      <c r="J874">
        <v>2.9510000000000001</v>
      </c>
      <c r="K874">
        <v>10267</v>
      </c>
      <c r="L874">
        <v>15283456</v>
      </c>
      <c r="M874">
        <v>37911</v>
      </c>
      <c r="N874">
        <v>653349</v>
      </c>
      <c r="O874">
        <v>43962</v>
      </c>
      <c r="P874">
        <v>595749</v>
      </c>
      <c r="Q874">
        <v>13638</v>
      </c>
      <c r="S874">
        <v>0</v>
      </c>
      <c r="T874">
        <v>89550</v>
      </c>
      <c r="U874">
        <v>8950</v>
      </c>
      <c r="V874">
        <v>0.88859999999999995</v>
      </c>
      <c r="W874">
        <v>0.86403333329999998</v>
      </c>
      <c r="X874">
        <v>1.5551999999999999</v>
      </c>
      <c r="Z874">
        <v>10266.959999999999</v>
      </c>
      <c r="AB874">
        <v>10267.450000000001</v>
      </c>
      <c r="AD874">
        <v>10266.780000000001</v>
      </c>
      <c r="AF874" t="s">
        <v>182</v>
      </c>
      <c r="AG874" t="s">
        <v>185</v>
      </c>
      <c r="AI874" t="s">
        <v>186</v>
      </c>
      <c r="AJ874" t="s">
        <v>2787</v>
      </c>
      <c r="AK874" t="s">
        <v>188</v>
      </c>
    </row>
    <row r="875" spans="1:37" x14ac:dyDescent="0.3">
      <c r="A875">
        <v>8008</v>
      </c>
      <c r="B875" s="207">
        <v>46121</v>
      </c>
      <c r="C875" t="s">
        <v>438</v>
      </c>
      <c r="D875" t="s">
        <v>2788</v>
      </c>
      <c r="E875" t="s">
        <v>2789</v>
      </c>
      <c r="F875" s="207">
        <v>46507</v>
      </c>
      <c r="G875">
        <v>1.05</v>
      </c>
      <c r="H875">
        <v>1265</v>
      </c>
      <c r="I875">
        <v>1235752</v>
      </c>
      <c r="J875">
        <v>3.02</v>
      </c>
      <c r="K875">
        <v>10210</v>
      </c>
      <c r="L875">
        <v>1291565</v>
      </c>
      <c r="M875">
        <v>2596</v>
      </c>
      <c r="N875">
        <v>53217</v>
      </c>
      <c r="O875">
        <v>3729</v>
      </c>
      <c r="P875">
        <v>48293</v>
      </c>
      <c r="Q875">
        <v>1195</v>
      </c>
      <c r="S875">
        <v>0</v>
      </c>
      <c r="T875">
        <v>7280</v>
      </c>
      <c r="U875">
        <v>720</v>
      </c>
      <c r="V875">
        <v>1.0557000000000001</v>
      </c>
      <c r="W875">
        <v>1.0252666666000001</v>
      </c>
      <c r="X875">
        <v>2.0296666665999998</v>
      </c>
      <c r="Z875">
        <v>10210.969999999999</v>
      </c>
      <c r="AB875">
        <v>10209.64</v>
      </c>
      <c r="AD875">
        <v>10210.030000000001</v>
      </c>
      <c r="AF875" t="s">
        <v>182</v>
      </c>
      <c r="AG875" t="s">
        <v>185</v>
      </c>
      <c r="AI875" t="s">
        <v>186</v>
      </c>
      <c r="AJ875" t="s">
        <v>2790</v>
      </c>
      <c r="AK875" t="s">
        <v>188</v>
      </c>
    </row>
    <row r="876" spans="1:37" x14ac:dyDescent="0.3">
      <c r="A876">
        <v>8008</v>
      </c>
      <c r="B876" s="207">
        <v>46121</v>
      </c>
      <c r="C876" t="s">
        <v>438</v>
      </c>
      <c r="D876" t="s">
        <v>2791</v>
      </c>
      <c r="E876" t="s">
        <v>2792</v>
      </c>
      <c r="F876" s="207">
        <v>46538</v>
      </c>
      <c r="G876">
        <v>1.05</v>
      </c>
      <c r="H876">
        <v>47944</v>
      </c>
      <c r="I876">
        <v>46750194</v>
      </c>
      <c r="J876">
        <v>3.0489999999999999</v>
      </c>
      <c r="K876">
        <v>10180</v>
      </c>
      <c r="L876">
        <v>48806992</v>
      </c>
      <c r="M876">
        <v>84120</v>
      </c>
      <c r="N876">
        <v>1972678</v>
      </c>
      <c r="O876">
        <v>141219</v>
      </c>
      <c r="P876">
        <v>1604694</v>
      </c>
      <c r="Q876">
        <v>226765</v>
      </c>
      <c r="S876">
        <v>0</v>
      </c>
      <c r="T876">
        <v>244400</v>
      </c>
      <c r="U876">
        <v>24420</v>
      </c>
      <c r="V876">
        <v>1.1406333333000001</v>
      </c>
      <c r="W876">
        <v>1.1080666666000001</v>
      </c>
      <c r="X876">
        <v>2.2645333333000002</v>
      </c>
      <c r="Z876">
        <v>10181.450000000001</v>
      </c>
      <c r="AB876">
        <v>10180.68</v>
      </c>
      <c r="AD876">
        <v>10180.66</v>
      </c>
      <c r="AF876" t="s">
        <v>182</v>
      </c>
      <c r="AG876" t="s">
        <v>185</v>
      </c>
      <c r="AI876" t="s">
        <v>186</v>
      </c>
      <c r="AJ876" t="s">
        <v>2793</v>
      </c>
      <c r="AK876" t="s">
        <v>188</v>
      </c>
    </row>
    <row r="877" spans="1:37" x14ac:dyDescent="0.3">
      <c r="A877">
        <v>8008</v>
      </c>
      <c r="B877" s="207">
        <v>46121</v>
      </c>
      <c r="C877" t="s">
        <v>438</v>
      </c>
      <c r="D877" t="s">
        <v>2794</v>
      </c>
      <c r="E877" t="s">
        <v>2795</v>
      </c>
      <c r="F877" s="207">
        <v>46568</v>
      </c>
      <c r="G877">
        <v>1.05</v>
      </c>
      <c r="H877">
        <v>7949</v>
      </c>
      <c r="I877">
        <v>7736690</v>
      </c>
      <c r="J877">
        <v>3.0779999999999998</v>
      </c>
      <c r="K877">
        <v>10152</v>
      </c>
      <c r="L877">
        <v>8069824</v>
      </c>
      <c r="M877">
        <v>13171</v>
      </c>
      <c r="N877">
        <v>319963</v>
      </c>
      <c r="O877">
        <v>23394</v>
      </c>
      <c r="P877">
        <v>289969</v>
      </c>
      <c r="Q877">
        <v>6600</v>
      </c>
      <c r="S877">
        <v>0</v>
      </c>
      <c r="T877">
        <v>43870</v>
      </c>
      <c r="U877">
        <v>4380</v>
      </c>
      <c r="V877">
        <v>1.2228333333000001</v>
      </c>
      <c r="W877">
        <v>1.1880333332999999</v>
      </c>
      <c r="X877">
        <v>2.5088333333000001</v>
      </c>
      <c r="Z877">
        <v>10151.92</v>
      </c>
      <c r="AB877">
        <v>10152.41</v>
      </c>
      <c r="AD877">
        <v>10151.92</v>
      </c>
      <c r="AF877" t="s">
        <v>182</v>
      </c>
      <c r="AG877" t="s">
        <v>185</v>
      </c>
      <c r="AI877" t="s">
        <v>186</v>
      </c>
      <c r="AJ877" t="s">
        <v>2796</v>
      </c>
      <c r="AK877" t="s">
        <v>188</v>
      </c>
    </row>
    <row r="878" spans="1:37" x14ac:dyDescent="0.3">
      <c r="A878">
        <v>8008</v>
      </c>
      <c r="B878" s="207">
        <v>46121</v>
      </c>
      <c r="C878" t="s">
        <v>438</v>
      </c>
      <c r="D878" t="s">
        <v>2797</v>
      </c>
      <c r="E878" t="s">
        <v>2798</v>
      </c>
      <c r="F878" s="207">
        <v>46691</v>
      </c>
      <c r="G878">
        <v>1.05</v>
      </c>
      <c r="H878">
        <v>1267</v>
      </c>
      <c r="I878">
        <v>1224348</v>
      </c>
      <c r="J878">
        <v>3.1850000000000001</v>
      </c>
      <c r="K878">
        <v>10032</v>
      </c>
      <c r="L878">
        <v>1271054</v>
      </c>
      <c r="M878">
        <v>339</v>
      </c>
      <c r="N878">
        <v>46367</v>
      </c>
      <c r="O878">
        <v>3715</v>
      </c>
      <c r="P878">
        <v>37561</v>
      </c>
      <c r="Q878">
        <v>5091</v>
      </c>
      <c r="S878">
        <v>0</v>
      </c>
      <c r="T878">
        <v>5770</v>
      </c>
      <c r="U878">
        <v>570</v>
      </c>
      <c r="V878">
        <v>1.5598000000000001</v>
      </c>
      <c r="W878">
        <v>1.5141333333</v>
      </c>
      <c r="X878">
        <v>3.6831666666</v>
      </c>
      <c r="Z878">
        <v>10030.370000000001</v>
      </c>
      <c r="AB878">
        <v>10034.459999999999</v>
      </c>
      <c r="AD878">
        <v>10031.74</v>
      </c>
      <c r="AF878" t="s">
        <v>182</v>
      </c>
      <c r="AG878" t="s">
        <v>185</v>
      </c>
      <c r="AI878" t="s">
        <v>186</v>
      </c>
      <c r="AJ878" t="s">
        <v>2799</v>
      </c>
      <c r="AK878" t="s">
        <v>188</v>
      </c>
    </row>
    <row r="879" spans="1:37" x14ac:dyDescent="0.3">
      <c r="A879">
        <v>8008</v>
      </c>
      <c r="B879" s="207">
        <v>46121</v>
      </c>
      <c r="C879" t="s">
        <v>438</v>
      </c>
      <c r="D879" t="s">
        <v>2800</v>
      </c>
      <c r="E879" t="s">
        <v>2801</v>
      </c>
      <c r="F879" s="207">
        <v>46752</v>
      </c>
      <c r="G879">
        <v>1.05</v>
      </c>
      <c r="H879">
        <v>20000</v>
      </c>
      <c r="I879">
        <v>19256772</v>
      </c>
      <c r="J879">
        <v>3.2290000000000001</v>
      </c>
      <c r="K879">
        <v>9972</v>
      </c>
      <c r="L879">
        <v>19944000</v>
      </c>
      <c r="M879">
        <v>-8550</v>
      </c>
      <c r="N879">
        <v>695778</v>
      </c>
      <c r="O879">
        <v>58550</v>
      </c>
      <c r="P879">
        <v>438792</v>
      </c>
      <c r="Q879">
        <v>198436</v>
      </c>
      <c r="S879">
        <v>0</v>
      </c>
      <c r="T879">
        <v>69620</v>
      </c>
      <c r="U879">
        <v>6960</v>
      </c>
      <c r="V879">
        <v>1.7269333333000001</v>
      </c>
      <c r="W879">
        <v>1.6749333333</v>
      </c>
      <c r="X879">
        <v>4.3666333333000003</v>
      </c>
      <c r="Z879">
        <v>9970.1299999999992</v>
      </c>
      <c r="AB879">
        <v>9975.7800000000007</v>
      </c>
      <c r="AD879">
        <v>9972.1299999999992</v>
      </c>
      <c r="AF879" t="s">
        <v>182</v>
      </c>
      <c r="AG879" t="s">
        <v>185</v>
      </c>
      <c r="AI879" t="s">
        <v>186</v>
      </c>
      <c r="AJ879" t="s">
        <v>2802</v>
      </c>
      <c r="AK879" t="s">
        <v>188</v>
      </c>
    </row>
    <row r="880" spans="1:37" x14ac:dyDescent="0.3">
      <c r="A880">
        <v>8008</v>
      </c>
      <c r="B880" s="207">
        <v>46121</v>
      </c>
      <c r="C880" t="s">
        <v>438</v>
      </c>
      <c r="D880" t="s">
        <v>2803</v>
      </c>
      <c r="E880" t="s">
        <v>2804</v>
      </c>
      <c r="F880" s="207">
        <v>46812</v>
      </c>
      <c r="G880">
        <v>2.5</v>
      </c>
      <c r="H880">
        <v>30266</v>
      </c>
      <c r="I880">
        <v>29945985</v>
      </c>
      <c r="J880">
        <v>3.2709999999999999</v>
      </c>
      <c r="K880">
        <v>10646</v>
      </c>
      <c r="L880">
        <v>32221183</v>
      </c>
      <c r="M880">
        <v>-142500</v>
      </c>
      <c r="N880">
        <v>2417698</v>
      </c>
      <c r="O880">
        <v>218165</v>
      </c>
      <c r="P880">
        <v>1607268</v>
      </c>
      <c r="Q880">
        <v>592265</v>
      </c>
      <c r="S880">
        <v>0</v>
      </c>
      <c r="T880">
        <v>255550</v>
      </c>
      <c r="U880">
        <v>25550</v>
      </c>
      <c r="V880">
        <v>1.8895</v>
      </c>
      <c r="W880">
        <v>1.8297666666000001</v>
      </c>
      <c r="X880">
        <v>5.0894666665999999</v>
      </c>
      <c r="Z880">
        <v>10643</v>
      </c>
      <c r="AB880">
        <v>10650.68</v>
      </c>
      <c r="AD880">
        <v>10645.73</v>
      </c>
      <c r="AF880" t="s">
        <v>182</v>
      </c>
      <c r="AG880" t="s">
        <v>185</v>
      </c>
      <c r="AI880" t="s">
        <v>186</v>
      </c>
      <c r="AJ880" t="s">
        <v>2805</v>
      </c>
      <c r="AK880" t="s">
        <v>188</v>
      </c>
    </row>
    <row r="881" spans="1:37" x14ac:dyDescent="0.3">
      <c r="A881">
        <v>8008</v>
      </c>
      <c r="B881" s="207">
        <v>46121</v>
      </c>
      <c r="C881" t="s">
        <v>438</v>
      </c>
      <c r="D881" t="s">
        <v>2806</v>
      </c>
      <c r="E881" t="s">
        <v>2807</v>
      </c>
      <c r="F881" s="207">
        <v>46843</v>
      </c>
      <c r="G881">
        <v>2.5</v>
      </c>
      <c r="H881">
        <v>3698</v>
      </c>
      <c r="I881">
        <v>3655007</v>
      </c>
      <c r="J881">
        <v>3.29</v>
      </c>
      <c r="K881">
        <v>10613</v>
      </c>
      <c r="L881">
        <v>3924687</v>
      </c>
      <c r="M881">
        <v>-17356</v>
      </c>
      <c r="N881">
        <v>287036</v>
      </c>
      <c r="O881">
        <v>26601</v>
      </c>
      <c r="P881">
        <v>178195</v>
      </c>
      <c r="Q881">
        <v>82240</v>
      </c>
      <c r="S881">
        <v>0</v>
      </c>
      <c r="T881">
        <v>28660</v>
      </c>
      <c r="U881">
        <v>2860</v>
      </c>
      <c r="V881">
        <v>1.9743999999999999</v>
      </c>
      <c r="W881">
        <v>1.9109</v>
      </c>
      <c r="X881">
        <v>5.4935999999999998</v>
      </c>
      <c r="Z881">
        <v>10611.35</v>
      </c>
      <c r="AB881">
        <v>10617.92</v>
      </c>
      <c r="AD881">
        <v>10612.57</v>
      </c>
      <c r="AF881" t="s">
        <v>182</v>
      </c>
      <c r="AG881" t="s">
        <v>185</v>
      </c>
      <c r="AI881" t="s">
        <v>186</v>
      </c>
      <c r="AJ881" t="s">
        <v>2808</v>
      </c>
      <c r="AK881" t="s">
        <v>188</v>
      </c>
    </row>
    <row r="882" spans="1:37" x14ac:dyDescent="0.3">
      <c r="A882">
        <v>8008</v>
      </c>
      <c r="B882" s="207">
        <v>46121</v>
      </c>
      <c r="C882" t="s">
        <v>438</v>
      </c>
      <c r="D882" t="s">
        <v>2809</v>
      </c>
      <c r="E882" t="s">
        <v>2810</v>
      </c>
      <c r="F882" s="207">
        <v>46904</v>
      </c>
      <c r="G882">
        <v>2.5</v>
      </c>
      <c r="H882">
        <v>30385</v>
      </c>
      <c r="I882">
        <v>29971217</v>
      </c>
      <c r="J882">
        <v>3.3180000000000001</v>
      </c>
      <c r="K882">
        <v>10550</v>
      </c>
      <c r="L882">
        <v>32056175</v>
      </c>
      <c r="M882">
        <v>-138662</v>
      </c>
      <c r="N882">
        <v>2223620</v>
      </c>
      <c r="O882">
        <v>217665</v>
      </c>
      <c r="P882">
        <v>1850608</v>
      </c>
      <c r="Q882">
        <v>155347</v>
      </c>
      <c r="S882">
        <v>0</v>
      </c>
      <c r="T882">
        <v>289550</v>
      </c>
      <c r="U882">
        <v>28940</v>
      </c>
      <c r="V882">
        <v>2.1415666666000002</v>
      </c>
      <c r="W882">
        <v>2.0731666666000002</v>
      </c>
      <c r="X882">
        <v>6.2661666666000002</v>
      </c>
      <c r="Z882">
        <v>10547.66</v>
      </c>
      <c r="AB882">
        <v>10554.08</v>
      </c>
      <c r="AD882">
        <v>10548.53</v>
      </c>
      <c r="AF882" t="s">
        <v>182</v>
      </c>
      <c r="AG882" t="s">
        <v>185</v>
      </c>
      <c r="AI882" t="s">
        <v>186</v>
      </c>
      <c r="AJ882" t="s">
        <v>2811</v>
      </c>
      <c r="AK882" t="s">
        <v>188</v>
      </c>
    </row>
    <row r="883" spans="1:37" x14ac:dyDescent="0.3">
      <c r="A883">
        <v>8008</v>
      </c>
      <c r="B883" s="207">
        <v>46121</v>
      </c>
      <c r="C883" t="s">
        <v>438</v>
      </c>
      <c r="D883" t="s">
        <v>2812</v>
      </c>
      <c r="E883" t="s">
        <v>2813</v>
      </c>
      <c r="F883" s="207">
        <v>46934</v>
      </c>
      <c r="G883">
        <v>2.5</v>
      </c>
      <c r="H883">
        <v>92445</v>
      </c>
      <c r="I883">
        <v>91099311</v>
      </c>
      <c r="J883">
        <v>3.3290000000000002</v>
      </c>
      <c r="K883">
        <v>10518</v>
      </c>
      <c r="L883">
        <v>97233651</v>
      </c>
      <c r="M883">
        <v>-429780</v>
      </c>
      <c r="N883">
        <v>6564120</v>
      </c>
      <c r="O883">
        <v>660893</v>
      </c>
      <c r="P883">
        <v>5712240</v>
      </c>
      <c r="Q883">
        <v>190987</v>
      </c>
      <c r="S883">
        <v>0</v>
      </c>
      <c r="T883">
        <v>892230</v>
      </c>
      <c r="U883">
        <v>89210</v>
      </c>
      <c r="V883">
        <v>2.2237666666</v>
      </c>
      <c r="W883">
        <v>2.1530333332999998</v>
      </c>
      <c r="X883">
        <v>6.6643333333000001</v>
      </c>
      <c r="Z883">
        <v>10516.97</v>
      </c>
      <c r="AB883">
        <v>10522.72</v>
      </c>
      <c r="AD883">
        <v>10516.97</v>
      </c>
      <c r="AF883" t="s">
        <v>182</v>
      </c>
      <c r="AG883" t="s">
        <v>185</v>
      </c>
      <c r="AI883" t="s">
        <v>186</v>
      </c>
      <c r="AJ883" t="s">
        <v>2814</v>
      </c>
      <c r="AK883" t="s">
        <v>188</v>
      </c>
    </row>
    <row r="884" spans="1:37" x14ac:dyDescent="0.3">
      <c r="A884">
        <v>8008</v>
      </c>
      <c r="B884" s="207">
        <v>46121</v>
      </c>
      <c r="C884" t="s">
        <v>438</v>
      </c>
      <c r="D884" t="s">
        <v>2815</v>
      </c>
      <c r="E884" t="s">
        <v>2816</v>
      </c>
      <c r="F884" s="207">
        <v>46965</v>
      </c>
      <c r="G884">
        <v>2.5</v>
      </c>
      <c r="H884">
        <v>50356</v>
      </c>
      <c r="I884">
        <v>49574077</v>
      </c>
      <c r="J884">
        <v>3.3410000000000002</v>
      </c>
      <c r="K884">
        <v>10486</v>
      </c>
      <c r="L884">
        <v>52803301</v>
      </c>
      <c r="M884">
        <v>-233352</v>
      </c>
      <c r="N884">
        <v>3462576</v>
      </c>
      <c r="O884">
        <v>359242</v>
      </c>
      <c r="P884">
        <v>2997907</v>
      </c>
      <c r="Q884">
        <v>105427</v>
      </c>
      <c r="S884">
        <v>0</v>
      </c>
      <c r="T884">
        <v>470000</v>
      </c>
      <c r="U884">
        <v>47000</v>
      </c>
      <c r="V884">
        <v>2.3086666666000002</v>
      </c>
      <c r="W884">
        <v>2.2354333333</v>
      </c>
      <c r="X884">
        <v>7.0929333333000004</v>
      </c>
      <c r="Z884">
        <v>10485.34</v>
      </c>
      <c r="AB884">
        <v>10490.35</v>
      </c>
      <c r="AD884">
        <v>10484.4</v>
      </c>
      <c r="AF884" t="s">
        <v>182</v>
      </c>
      <c r="AG884" t="s">
        <v>185</v>
      </c>
      <c r="AI884" t="s">
        <v>186</v>
      </c>
      <c r="AJ884" t="s">
        <v>2817</v>
      </c>
      <c r="AK884" t="s">
        <v>188</v>
      </c>
    </row>
    <row r="885" spans="1:37" x14ac:dyDescent="0.3">
      <c r="A885">
        <v>8008</v>
      </c>
      <c r="B885" s="207">
        <v>46121</v>
      </c>
      <c r="C885" t="s">
        <v>438</v>
      </c>
      <c r="D885" t="s">
        <v>2818</v>
      </c>
      <c r="E885" t="s">
        <v>2819</v>
      </c>
      <c r="F885" s="207">
        <v>46996</v>
      </c>
      <c r="G885">
        <v>2.5</v>
      </c>
      <c r="H885">
        <v>47722</v>
      </c>
      <c r="I885">
        <v>46934405</v>
      </c>
      <c r="J885">
        <v>3.355</v>
      </c>
      <c r="K885">
        <v>10454</v>
      </c>
      <c r="L885">
        <v>49888578</v>
      </c>
      <c r="M885">
        <v>-220433</v>
      </c>
      <c r="N885">
        <v>3174606</v>
      </c>
      <c r="O885">
        <v>339738</v>
      </c>
      <c r="P885">
        <v>2747759</v>
      </c>
      <c r="Q885">
        <v>87109</v>
      </c>
      <c r="S885">
        <v>0</v>
      </c>
      <c r="T885">
        <v>432240</v>
      </c>
      <c r="U885">
        <v>43210</v>
      </c>
      <c r="V885">
        <v>2.3936000000000002</v>
      </c>
      <c r="W885">
        <v>2.3175666665999999</v>
      </c>
      <c r="X885">
        <v>7.5385333333000002</v>
      </c>
      <c r="Z885">
        <v>10452.52</v>
      </c>
      <c r="AB885">
        <v>10457.700000000001</v>
      </c>
      <c r="AD885">
        <v>10451.799999999999</v>
      </c>
      <c r="AF885" t="s">
        <v>182</v>
      </c>
      <c r="AG885" t="s">
        <v>185</v>
      </c>
      <c r="AI885" t="s">
        <v>186</v>
      </c>
      <c r="AJ885" t="s">
        <v>2820</v>
      </c>
      <c r="AK885" t="s">
        <v>188</v>
      </c>
    </row>
    <row r="886" spans="1:37" x14ac:dyDescent="0.3">
      <c r="A886">
        <v>8008</v>
      </c>
      <c r="B886" s="207">
        <v>46121</v>
      </c>
      <c r="C886" t="s">
        <v>438</v>
      </c>
      <c r="D886" t="s">
        <v>2821</v>
      </c>
      <c r="E886" t="s">
        <v>2822</v>
      </c>
      <c r="F886" s="207">
        <v>47057</v>
      </c>
      <c r="G886">
        <v>2.5</v>
      </c>
      <c r="H886">
        <v>30541</v>
      </c>
      <c r="I886">
        <v>29974740</v>
      </c>
      <c r="J886">
        <v>3.3929999999999998</v>
      </c>
      <c r="K886">
        <v>10386</v>
      </c>
      <c r="L886">
        <v>31719881</v>
      </c>
      <c r="M886">
        <v>-152393</v>
      </c>
      <c r="N886">
        <v>1897534</v>
      </c>
      <c r="O886">
        <v>216529</v>
      </c>
      <c r="P886">
        <v>1616455</v>
      </c>
      <c r="Q886">
        <v>64550</v>
      </c>
      <c r="S886">
        <v>0</v>
      </c>
      <c r="T886">
        <v>256610</v>
      </c>
      <c r="U886">
        <v>25650</v>
      </c>
      <c r="V886">
        <v>2.5607000000000002</v>
      </c>
      <c r="W886">
        <v>2.4784666666000001</v>
      </c>
      <c r="X886">
        <v>8.4631333333000001</v>
      </c>
      <c r="Z886">
        <v>10385.35</v>
      </c>
      <c r="AB886">
        <v>10390.07</v>
      </c>
      <c r="AD886">
        <v>10384.06</v>
      </c>
      <c r="AF886" t="s">
        <v>182</v>
      </c>
      <c r="AG886" t="s">
        <v>185</v>
      </c>
      <c r="AI886" t="s">
        <v>186</v>
      </c>
      <c r="AJ886" t="s">
        <v>2823</v>
      </c>
      <c r="AK886" t="s">
        <v>188</v>
      </c>
    </row>
    <row r="887" spans="1:37" x14ac:dyDescent="0.3">
      <c r="A887">
        <v>8008</v>
      </c>
      <c r="B887" s="207">
        <v>46121</v>
      </c>
      <c r="C887" t="s">
        <v>438</v>
      </c>
      <c r="D887" t="s">
        <v>2824</v>
      </c>
      <c r="E887" t="s">
        <v>2825</v>
      </c>
      <c r="F887" s="207">
        <v>47087</v>
      </c>
      <c r="G887">
        <v>2.5</v>
      </c>
      <c r="H887">
        <v>24518</v>
      </c>
      <c r="I887">
        <v>24037403</v>
      </c>
      <c r="J887">
        <v>3.4239999999999999</v>
      </c>
      <c r="K887">
        <v>10350</v>
      </c>
      <c r="L887">
        <v>25376130</v>
      </c>
      <c r="M887">
        <v>-131794</v>
      </c>
      <c r="N887">
        <v>1470521</v>
      </c>
      <c r="O887">
        <v>173476</v>
      </c>
      <c r="P887">
        <v>1249024</v>
      </c>
      <c r="Q887">
        <v>48021</v>
      </c>
      <c r="S887">
        <v>0</v>
      </c>
      <c r="T887">
        <v>199120</v>
      </c>
      <c r="U887">
        <v>19880</v>
      </c>
      <c r="V887">
        <v>2.6429</v>
      </c>
      <c r="W887">
        <v>2.5570333333000002</v>
      </c>
      <c r="X887">
        <v>8.9396666666000009</v>
      </c>
      <c r="Z887">
        <v>10348.48</v>
      </c>
      <c r="AB887">
        <v>10353.59</v>
      </c>
      <c r="AD887">
        <v>10348.209999999999</v>
      </c>
      <c r="AF887" t="s">
        <v>182</v>
      </c>
      <c r="AG887" t="s">
        <v>185</v>
      </c>
      <c r="AI887" t="s">
        <v>186</v>
      </c>
      <c r="AJ887" t="s">
        <v>2826</v>
      </c>
      <c r="AK887" t="s">
        <v>188</v>
      </c>
    </row>
    <row r="888" spans="1:37" x14ac:dyDescent="0.3">
      <c r="A888">
        <v>8008</v>
      </c>
      <c r="B888" s="207">
        <v>46121</v>
      </c>
      <c r="C888" t="s">
        <v>438</v>
      </c>
      <c r="D888" t="s">
        <v>2827</v>
      </c>
      <c r="E888" t="s">
        <v>2828</v>
      </c>
      <c r="F888" s="207">
        <v>47118</v>
      </c>
      <c r="G888">
        <v>2.5</v>
      </c>
      <c r="H888">
        <v>644</v>
      </c>
      <c r="I888">
        <v>630737</v>
      </c>
      <c r="J888">
        <v>3.4550000000000001</v>
      </c>
      <c r="K888">
        <v>10312</v>
      </c>
      <c r="L888">
        <v>664092</v>
      </c>
      <c r="M888">
        <v>-3839</v>
      </c>
      <c r="N888">
        <v>37194</v>
      </c>
      <c r="O888">
        <v>4547</v>
      </c>
      <c r="P888">
        <v>29305</v>
      </c>
      <c r="Q888">
        <v>3342</v>
      </c>
      <c r="S888">
        <v>0</v>
      </c>
      <c r="T888">
        <v>4730</v>
      </c>
      <c r="U888">
        <v>470</v>
      </c>
      <c r="V888">
        <v>2.7278666666000002</v>
      </c>
      <c r="W888">
        <v>2.6379999999999999</v>
      </c>
      <c r="X888">
        <v>9.4481333332999995</v>
      </c>
      <c r="Z888">
        <v>10310.89</v>
      </c>
      <c r="AB888">
        <v>10315.32</v>
      </c>
      <c r="AD888">
        <v>10310.620000000001</v>
      </c>
      <c r="AF888" t="s">
        <v>182</v>
      </c>
      <c r="AG888" t="s">
        <v>185</v>
      </c>
      <c r="AI888" t="s">
        <v>186</v>
      </c>
      <c r="AJ888" t="s">
        <v>2829</v>
      </c>
      <c r="AK888" t="s">
        <v>188</v>
      </c>
    </row>
    <row r="889" spans="1:37" x14ac:dyDescent="0.3">
      <c r="A889">
        <v>8008</v>
      </c>
      <c r="B889" s="207">
        <v>46121</v>
      </c>
      <c r="C889" t="s">
        <v>438</v>
      </c>
      <c r="D889" t="s">
        <v>2830</v>
      </c>
      <c r="E889" t="s">
        <v>2831</v>
      </c>
      <c r="F889" s="207">
        <v>47149</v>
      </c>
      <c r="G889">
        <v>2.5</v>
      </c>
      <c r="H889">
        <v>38056</v>
      </c>
      <c r="I889">
        <v>37241798</v>
      </c>
      <c r="J889">
        <v>3.4849999999999999</v>
      </c>
      <c r="K889">
        <v>10274</v>
      </c>
      <c r="L889">
        <v>39098733</v>
      </c>
      <c r="M889">
        <v>-256719</v>
      </c>
      <c r="N889">
        <v>2113654</v>
      </c>
      <c r="O889">
        <v>268137</v>
      </c>
      <c r="P889">
        <v>1584321</v>
      </c>
      <c r="Q889">
        <v>261196</v>
      </c>
      <c r="S889">
        <v>0</v>
      </c>
      <c r="T889">
        <v>259320</v>
      </c>
      <c r="U889">
        <v>25900</v>
      </c>
      <c r="V889">
        <v>2.8128000000000002</v>
      </c>
      <c r="W889">
        <v>2.7187999999999999</v>
      </c>
      <c r="X889">
        <v>9.9726666666000003</v>
      </c>
      <c r="Z889">
        <v>10273.299999999999</v>
      </c>
      <c r="AB889">
        <v>10277.01</v>
      </c>
      <c r="AD889">
        <v>10272.74</v>
      </c>
      <c r="AF889" t="s">
        <v>182</v>
      </c>
      <c r="AG889" t="s">
        <v>185</v>
      </c>
      <c r="AI889" t="s">
        <v>186</v>
      </c>
      <c r="AJ889" t="s">
        <v>2832</v>
      </c>
      <c r="AK889" t="s">
        <v>188</v>
      </c>
    </row>
    <row r="890" spans="1:37" x14ac:dyDescent="0.3">
      <c r="A890">
        <v>8008</v>
      </c>
      <c r="B890" s="207">
        <v>46121</v>
      </c>
      <c r="C890" t="s">
        <v>438</v>
      </c>
      <c r="D890" t="s">
        <v>2833</v>
      </c>
      <c r="E890" t="s">
        <v>2834</v>
      </c>
      <c r="F890" s="207">
        <v>47177</v>
      </c>
      <c r="G890">
        <v>2.5</v>
      </c>
      <c r="H890">
        <v>24551</v>
      </c>
      <c r="I890">
        <v>24005707</v>
      </c>
      <c r="J890">
        <v>3.512</v>
      </c>
      <c r="K890">
        <v>10239</v>
      </c>
      <c r="L890">
        <v>25137768</v>
      </c>
      <c r="M890">
        <v>-182476</v>
      </c>
      <c r="N890">
        <v>1314537</v>
      </c>
      <c r="O890">
        <v>172655</v>
      </c>
      <c r="P890">
        <v>1086544</v>
      </c>
      <c r="Q890">
        <v>55338</v>
      </c>
      <c r="S890">
        <v>0</v>
      </c>
      <c r="T890">
        <v>176270</v>
      </c>
      <c r="U890">
        <v>17620</v>
      </c>
      <c r="V890">
        <v>2.8895</v>
      </c>
      <c r="W890">
        <v>2.7916666665999998</v>
      </c>
      <c r="X890">
        <v>10.4600333333</v>
      </c>
      <c r="Z890">
        <v>10239.19</v>
      </c>
      <c r="AB890">
        <v>10242.129999999999</v>
      </c>
      <c r="AD890">
        <v>10238.34</v>
      </c>
      <c r="AF890" t="s">
        <v>182</v>
      </c>
      <c r="AG890" t="s">
        <v>185</v>
      </c>
      <c r="AI890" t="s">
        <v>186</v>
      </c>
      <c r="AJ890" t="s">
        <v>2835</v>
      </c>
      <c r="AK890" t="s">
        <v>188</v>
      </c>
    </row>
    <row r="891" spans="1:37" x14ac:dyDescent="0.3">
      <c r="A891">
        <v>8008</v>
      </c>
      <c r="B891" s="207">
        <v>46121</v>
      </c>
      <c r="C891" t="s">
        <v>438</v>
      </c>
      <c r="D891" t="s">
        <v>2836</v>
      </c>
      <c r="E891" t="s">
        <v>2837</v>
      </c>
      <c r="F891" s="207">
        <v>47208</v>
      </c>
      <c r="G891">
        <v>2.5</v>
      </c>
      <c r="H891">
        <v>2434</v>
      </c>
      <c r="I891">
        <v>2377730</v>
      </c>
      <c r="J891">
        <v>3.5419999999999998</v>
      </c>
      <c r="K891">
        <v>10201</v>
      </c>
      <c r="L891">
        <v>2482923</v>
      </c>
      <c r="M891">
        <v>-19758</v>
      </c>
      <c r="N891">
        <v>124951</v>
      </c>
      <c r="O891">
        <v>17081</v>
      </c>
      <c r="P891">
        <v>93834</v>
      </c>
      <c r="Q891">
        <v>14036</v>
      </c>
      <c r="S891">
        <v>0</v>
      </c>
      <c r="T891">
        <v>15520</v>
      </c>
      <c r="U891">
        <v>1550</v>
      </c>
      <c r="V891">
        <v>2.9744000000000002</v>
      </c>
      <c r="W891">
        <v>2.8720666665999999</v>
      </c>
      <c r="X891">
        <v>11.0145666666</v>
      </c>
      <c r="Z891">
        <v>10202.31</v>
      </c>
      <c r="AB891">
        <v>10202.379999999999</v>
      </c>
      <c r="AD891">
        <v>10199.969999999999</v>
      </c>
      <c r="AF891" t="s">
        <v>182</v>
      </c>
      <c r="AG891" t="s">
        <v>185</v>
      </c>
      <c r="AI891" t="s">
        <v>186</v>
      </c>
      <c r="AJ891" t="s">
        <v>2838</v>
      </c>
      <c r="AK891" t="s">
        <v>188</v>
      </c>
    </row>
    <row r="892" spans="1:37" x14ac:dyDescent="0.3">
      <c r="A892">
        <v>8008</v>
      </c>
      <c r="B892" s="207">
        <v>46121</v>
      </c>
      <c r="C892" t="s">
        <v>438</v>
      </c>
      <c r="D892" t="s">
        <v>2839</v>
      </c>
      <c r="E892" t="s">
        <v>2840</v>
      </c>
      <c r="F892" s="207">
        <v>47238</v>
      </c>
      <c r="G892">
        <v>2.5</v>
      </c>
      <c r="H892">
        <v>9890</v>
      </c>
      <c r="I892">
        <v>9653620</v>
      </c>
      <c r="J892">
        <v>3.552</v>
      </c>
      <c r="K892">
        <v>10169</v>
      </c>
      <c r="L892">
        <v>10057139</v>
      </c>
      <c r="M892">
        <v>-83111</v>
      </c>
      <c r="N892">
        <v>486630</v>
      </c>
      <c r="O892">
        <v>69265</v>
      </c>
      <c r="P892">
        <v>271638</v>
      </c>
      <c r="Q892">
        <v>145727</v>
      </c>
      <c r="S892">
        <v>0</v>
      </c>
      <c r="T892">
        <v>47690</v>
      </c>
      <c r="U892">
        <v>4760</v>
      </c>
      <c r="V892">
        <v>3.0566</v>
      </c>
      <c r="W892">
        <v>2.9514999999999998</v>
      </c>
      <c r="X892">
        <v>11.544766666599999</v>
      </c>
      <c r="Z892">
        <v>10169.42</v>
      </c>
      <c r="AB892">
        <v>10170.39</v>
      </c>
      <c r="AD892">
        <v>10167.92</v>
      </c>
      <c r="AF892" t="s">
        <v>182</v>
      </c>
      <c r="AG892" t="s">
        <v>185</v>
      </c>
      <c r="AI892" t="s">
        <v>186</v>
      </c>
      <c r="AJ892" t="s">
        <v>2841</v>
      </c>
      <c r="AK892" t="s">
        <v>188</v>
      </c>
    </row>
    <row r="893" spans="1:37" x14ac:dyDescent="0.3">
      <c r="A893">
        <v>8008</v>
      </c>
      <c r="B893" s="207">
        <v>46121</v>
      </c>
      <c r="C893" t="s">
        <v>438</v>
      </c>
      <c r="D893" t="s">
        <v>2842</v>
      </c>
      <c r="E893" t="s">
        <v>2843</v>
      </c>
      <c r="F893" s="207">
        <v>47299</v>
      </c>
      <c r="G893">
        <v>2.5</v>
      </c>
      <c r="H893">
        <v>17435</v>
      </c>
      <c r="I893">
        <v>16986767</v>
      </c>
      <c r="J893">
        <v>3.5569999999999999</v>
      </c>
      <c r="K893">
        <v>10107</v>
      </c>
      <c r="L893">
        <v>17621553</v>
      </c>
      <c r="M893">
        <v>-147756</v>
      </c>
      <c r="N893">
        <v>782542</v>
      </c>
      <c r="O893">
        <v>121603</v>
      </c>
      <c r="P893">
        <v>422059</v>
      </c>
      <c r="Q893">
        <v>238880</v>
      </c>
      <c r="S893">
        <v>0</v>
      </c>
      <c r="T893">
        <v>76090</v>
      </c>
      <c r="U893">
        <v>7590</v>
      </c>
      <c r="V893">
        <v>3.2237666666</v>
      </c>
      <c r="W893">
        <v>3.1140666665999999</v>
      </c>
      <c r="X893">
        <v>12.649900000000001</v>
      </c>
      <c r="Z893">
        <v>10107.32</v>
      </c>
      <c r="AB893">
        <v>10109.91</v>
      </c>
      <c r="AD893">
        <v>10106.370000000001</v>
      </c>
      <c r="AF893" t="s">
        <v>182</v>
      </c>
      <c r="AG893" t="s">
        <v>185</v>
      </c>
      <c r="AI893" t="s">
        <v>186</v>
      </c>
      <c r="AJ893" t="s">
        <v>2844</v>
      </c>
      <c r="AK893" t="s">
        <v>188</v>
      </c>
    </row>
    <row r="894" spans="1:37" x14ac:dyDescent="0.3">
      <c r="A894">
        <v>8008</v>
      </c>
      <c r="B894" s="207">
        <v>46121</v>
      </c>
      <c r="C894" t="s">
        <v>438</v>
      </c>
      <c r="D894" t="s">
        <v>2845</v>
      </c>
      <c r="E894" t="s">
        <v>2846</v>
      </c>
      <c r="F894" s="207">
        <v>47330</v>
      </c>
      <c r="G894">
        <v>2.5</v>
      </c>
      <c r="H894">
        <v>10970</v>
      </c>
      <c r="I894">
        <v>10678917</v>
      </c>
      <c r="J894">
        <v>3.5590000000000002</v>
      </c>
      <c r="K894">
        <v>10077</v>
      </c>
      <c r="L894">
        <v>11054468</v>
      </c>
      <c r="M894">
        <v>-92808</v>
      </c>
      <c r="N894">
        <v>468359</v>
      </c>
      <c r="O894">
        <v>76353</v>
      </c>
      <c r="P894">
        <v>360300</v>
      </c>
      <c r="Q894">
        <v>31706</v>
      </c>
      <c r="S894">
        <v>0</v>
      </c>
      <c r="T894">
        <v>61120</v>
      </c>
      <c r="U894">
        <v>6100</v>
      </c>
      <c r="V894">
        <v>3.3086666666000002</v>
      </c>
      <c r="W894">
        <v>3.1964999999999999</v>
      </c>
      <c r="X894">
        <v>13.2372</v>
      </c>
      <c r="Z894">
        <v>10076.129999999999</v>
      </c>
      <c r="AB894">
        <v>10079.75</v>
      </c>
      <c r="AD894">
        <v>10075.48</v>
      </c>
      <c r="AF894" t="s">
        <v>182</v>
      </c>
      <c r="AG894" t="s">
        <v>185</v>
      </c>
      <c r="AI894" t="s">
        <v>186</v>
      </c>
      <c r="AJ894" t="s">
        <v>2847</v>
      </c>
      <c r="AK894" t="s">
        <v>188</v>
      </c>
    </row>
    <row r="895" spans="1:37" x14ac:dyDescent="0.3">
      <c r="A895">
        <v>8008</v>
      </c>
      <c r="B895" s="207">
        <v>46121</v>
      </c>
      <c r="C895" t="s">
        <v>438</v>
      </c>
      <c r="D895" t="s">
        <v>2848</v>
      </c>
      <c r="E895" t="s">
        <v>2849</v>
      </c>
      <c r="F895" s="207">
        <v>47361</v>
      </c>
      <c r="G895">
        <v>2.5</v>
      </c>
      <c r="H895">
        <v>3731</v>
      </c>
      <c r="I895">
        <v>3628530</v>
      </c>
      <c r="J895">
        <v>3.5609999999999999</v>
      </c>
      <c r="K895">
        <v>10046</v>
      </c>
      <c r="L895">
        <v>3748162</v>
      </c>
      <c r="M895">
        <v>-31511</v>
      </c>
      <c r="N895">
        <v>151143</v>
      </c>
      <c r="O895">
        <v>25914</v>
      </c>
      <c r="P895">
        <v>117656</v>
      </c>
      <c r="Q895">
        <v>7573</v>
      </c>
      <c r="S895">
        <v>0</v>
      </c>
      <c r="T895">
        <v>20090</v>
      </c>
      <c r="U895">
        <v>2000</v>
      </c>
      <c r="V895">
        <v>3.3936000000000002</v>
      </c>
      <c r="W895">
        <v>3.2787333332999999</v>
      </c>
      <c r="X895">
        <v>13.8414</v>
      </c>
      <c r="Z895">
        <v>10045.07</v>
      </c>
      <c r="AB895">
        <v>10049.43</v>
      </c>
      <c r="AD895">
        <v>10044.74</v>
      </c>
      <c r="AF895" t="s">
        <v>182</v>
      </c>
      <c r="AG895" t="s">
        <v>185</v>
      </c>
      <c r="AI895" t="s">
        <v>186</v>
      </c>
      <c r="AJ895" t="s">
        <v>2850</v>
      </c>
      <c r="AK895" t="s">
        <v>188</v>
      </c>
    </row>
    <row r="896" spans="1:37" x14ac:dyDescent="0.3">
      <c r="A896">
        <v>8008</v>
      </c>
      <c r="B896" s="207">
        <v>46121</v>
      </c>
      <c r="C896" t="s">
        <v>438</v>
      </c>
      <c r="D896" t="s">
        <v>2851</v>
      </c>
      <c r="E896" t="s">
        <v>2852</v>
      </c>
      <c r="F896" s="207">
        <v>47391</v>
      </c>
      <c r="G896">
        <v>2.5</v>
      </c>
      <c r="H896">
        <v>5000</v>
      </c>
      <c r="I896">
        <v>4858655</v>
      </c>
      <c r="J896">
        <v>3.5619999999999998</v>
      </c>
      <c r="K896">
        <v>10016</v>
      </c>
      <c r="L896">
        <v>5008000</v>
      </c>
      <c r="M896">
        <v>-42657</v>
      </c>
      <c r="N896">
        <v>192002</v>
      </c>
      <c r="O896">
        <v>34657</v>
      </c>
      <c r="P896">
        <v>42390</v>
      </c>
      <c r="Q896">
        <v>114955</v>
      </c>
      <c r="S896">
        <v>0</v>
      </c>
      <c r="T896">
        <v>10780</v>
      </c>
      <c r="U896">
        <v>1070</v>
      </c>
      <c r="V896">
        <v>3.4758</v>
      </c>
      <c r="W896">
        <v>3.3581333333000001</v>
      </c>
      <c r="X896">
        <v>14.4421666666</v>
      </c>
      <c r="Z896">
        <v>10015.120000000001</v>
      </c>
      <c r="AB896">
        <v>10020.58</v>
      </c>
      <c r="AD896">
        <v>10015.120000000001</v>
      </c>
      <c r="AF896" t="s">
        <v>182</v>
      </c>
      <c r="AG896" t="s">
        <v>185</v>
      </c>
      <c r="AI896" t="s">
        <v>186</v>
      </c>
      <c r="AJ896" t="s">
        <v>2853</v>
      </c>
      <c r="AK896" t="s">
        <v>188</v>
      </c>
    </row>
    <row r="897" spans="1:37" x14ac:dyDescent="0.3">
      <c r="A897">
        <v>8008</v>
      </c>
      <c r="B897" s="207">
        <v>46121</v>
      </c>
      <c r="C897" t="s">
        <v>438</v>
      </c>
      <c r="D897" t="s">
        <v>2854</v>
      </c>
      <c r="E897" t="s">
        <v>2855</v>
      </c>
      <c r="F897" s="207">
        <v>47422</v>
      </c>
      <c r="G897">
        <v>2.5</v>
      </c>
      <c r="H897">
        <v>55869</v>
      </c>
      <c r="I897">
        <v>54148400</v>
      </c>
      <c r="J897">
        <v>3.5649999999999999</v>
      </c>
      <c r="K897">
        <v>9986</v>
      </c>
      <c r="L897">
        <v>55790783</v>
      </c>
      <c r="M897">
        <v>-381478</v>
      </c>
      <c r="N897">
        <v>2023861</v>
      </c>
      <c r="O897">
        <v>360479</v>
      </c>
      <c r="P897">
        <v>1256001</v>
      </c>
      <c r="Q897">
        <v>407381</v>
      </c>
      <c r="S897">
        <v>0</v>
      </c>
      <c r="T897">
        <v>226300</v>
      </c>
      <c r="U897">
        <v>22620</v>
      </c>
      <c r="V897">
        <v>3.5607000000000002</v>
      </c>
      <c r="W897">
        <v>3.4400333333000002</v>
      </c>
      <c r="X897">
        <v>15.0791333333</v>
      </c>
      <c r="Z897">
        <v>9983.99</v>
      </c>
      <c r="AB897">
        <v>9990.6</v>
      </c>
      <c r="AD897">
        <v>9984.33</v>
      </c>
      <c r="AF897" t="s">
        <v>182</v>
      </c>
      <c r="AG897" t="s">
        <v>185</v>
      </c>
      <c r="AI897" t="s">
        <v>186</v>
      </c>
      <c r="AJ897" t="s">
        <v>2856</v>
      </c>
      <c r="AK897" t="s">
        <v>188</v>
      </c>
    </row>
    <row r="898" spans="1:37" x14ac:dyDescent="0.3">
      <c r="A898">
        <v>8008</v>
      </c>
      <c r="B898" s="207">
        <v>46121</v>
      </c>
      <c r="C898" t="s">
        <v>438</v>
      </c>
      <c r="D898" t="s">
        <v>2857</v>
      </c>
      <c r="E898" t="s">
        <v>2858</v>
      </c>
      <c r="F898" s="207">
        <v>47483</v>
      </c>
      <c r="G898">
        <v>2.5</v>
      </c>
      <c r="H898">
        <v>72839</v>
      </c>
      <c r="I898">
        <v>70590510</v>
      </c>
      <c r="J898">
        <v>3.57</v>
      </c>
      <c r="K898">
        <v>9926</v>
      </c>
      <c r="L898">
        <v>72299990</v>
      </c>
      <c r="M898">
        <v>-618287</v>
      </c>
      <c r="N898">
        <v>2327767</v>
      </c>
      <c r="O898">
        <v>501744</v>
      </c>
      <c r="P898">
        <v>1689638</v>
      </c>
      <c r="Q898">
        <v>136385</v>
      </c>
      <c r="S898">
        <v>0</v>
      </c>
      <c r="T898">
        <v>306760</v>
      </c>
      <c r="U898">
        <v>30660</v>
      </c>
      <c r="V898">
        <v>3.7278666666000002</v>
      </c>
      <c r="W898">
        <v>3.6006666666</v>
      </c>
      <c r="X898">
        <v>16.380533333300001</v>
      </c>
      <c r="Z898">
        <v>9921.9599999999991</v>
      </c>
      <c r="AB898">
        <v>9932.41</v>
      </c>
      <c r="AD898">
        <v>9924.82</v>
      </c>
      <c r="AF898" t="s">
        <v>182</v>
      </c>
      <c r="AG898" t="s">
        <v>185</v>
      </c>
      <c r="AI898" t="s">
        <v>186</v>
      </c>
      <c r="AJ898" t="s">
        <v>2859</v>
      </c>
      <c r="AK898" t="s">
        <v>188</v>
      </c>
    </row>
    <row r="899" spans="1:37" x14ac:dyDescent="0.3">
      <c r="A899">
        <v>8008</v>
      </c>
      <c r="B899" s="207">
        <v>46121</v>
      </c>
      <c r="C899" t="s">
        <v>438</v>
      </c>
      <c r="D899" t="s">
        <v>2860</v>
      </c>
      <c r="E899" t="s">
        <v>2861</v>
      </c>
      <c r="F899" s="207">
        <v>47514</v>
      </c>
      <c r="G899">
        <v>2.5</v>
      </c>
      <c r="H899">
        <v>2386</v>
      </c>
      <c r="I899">
        <v>2309596</v>
      </c>
      <c r="J899">
        <v>3.5739999999999998</v>
      </c>
      <c r="K899">
        <v>9895</v>
      </c>
      <c r="L899">
        <v>2360946</v>
      </c>
      <c r="M899">
        <v>-19741</v>
      </c>
      <c r="N899">
        <v>71091</v>
      </c>
      <c r="O899">
        <v>16401</v>
      </c>
      <c r="P899">
        <v>40784</v>
      </c>
      <c r="Q899">
        <v>13906</v>
      </c>
      <c r="S899">
        <v>0</v>
      </c>
      <c r="T899">
        <v>7990</v>
      </c>
      <c r="U899">
        <v>790</v>
      </c>
      <c r="V899">
        <v>3.8128000000000002</v>
      </c>
      <c r="W899">
        <v>3.6819999999999999</v>
      </c>
      <c r="X899">
        <v>17.0657</v>
      </c>
      <c r="Z899">
        <v>9889.7000000000007</v>
      </c>
      <c r="AB899">
        <v>9902.9</v>
      </c>
      <c r="AD899">
        <v>9894.7999999999993</v>
      </c>
      <c r="AF899" t="s">
        <v>182</v>
      </c>
      <c r="AG899" t="s">
        <v>185</v>
      </c>
      <c r="AI899" t="s">
        <v>186</v>
      </c>
      <c r="AJ899" t="s">
        <v>2862</v>
      </c>
      <c r="AK899" t="s">
        <v>188</v>
      </c>
    </row>
    <row r="900" spans="1:37" x14ac:dyDescent="0.3">
      <c r="A900">
        <v>8008</v>
      </c>
      <c r="B900" s="207">
        <v>46121</v>
      </c>
      <c r="C900" t="s">
        <v>438</v>
      </c>
      <c r="D900" t="s">
        <v>2863</v>
      </c>
      <c r="E900" t="s">
        <v>2864</v>
      </c>
      <c r="F900" s="207">
        <v>47573</v>
      </c>
      <c r="G900">
        <v>2.5</v>
      </c>
      <c r="H900">
        <v>21158</v>
      </c>
      <c r="I900">
        <v>20429169</v>
      </c>
      <c r="J900">
        <v>3.5790000000000002</v>
      </c>
      <c r="K900">
        <v>9838</v>
      </c>
      <c r="L900">
        <v>20815238</v>
      </c>
      <c r="M900">
        <v>-157556</v>
      </c>
      <c r="N900">
        <v>543625</v>
      </c>
      <c r="O900">
        <v>144860</v>
      </c>
      <c r="P900">
        <v>347923</v>
      </c>
      <c r="Q900">
        <v>50842</v>
      </c>
      <c r="S900">
        <v>0</v>
      </c>
      <c r="T900">
        <v>68970</v>
      </c>
      <c r="U900">
        <v>6880</v>
      </c>
      <c r="V900">
        <v>3.9744000000000002</v>
      </c>
      <c r="W900">
        <v>3.8365</v>
      </c>
      <c r="X900">
        <v>18.414633333299999</v>
      </c>
      <c r="Z900">
        <v>9830.84</v>
      </c>
      <c r="AB900">
        <v>9847.52</v>
      </c>
      <c r="AD900">
        <v>9837.6299999999992</v>
      </c>
      <c r="AF900" t="s">
        <v>182</v>
      </c>
      <c r="AG900" t="s">
        <v>185</v>
      </c>
      <c r="AI900" t="s">
        <v>186</v>
      </c>
      <c r="AJ900" t="s">
        <v>2865</v>
      </c>
      <c r="AK900" t="s">
        <v>188</v>
      </c>
    </row>
    <row r="901" spans="1:37" x14ac:dyDescent="0.3">
      <c r="A901">
        <v>8008</v>
      </c>
      <c r="B901" s="207">
        <v>46121</v>
      </c>
      <c r="C901" t="s">
        <v>438</v>
      </c>
      <c r="D901" t="s">
        <v>2866</v>
      </c>
      <c r="E901" t="s">
        <v>2867</v>
      </c>
      <c r="F901" s="207">
        <v>47603</v>
      </c>
      <c r="G901">
        <v>2.5</v>
      </c>
      <c r="H901">
        <v>504</v>
      </c>
      <c r="I901">
        <v>486068</v>
      </c>
      <c r="J901">
        <v>3.5870000000000002</v>
      </c>
      <c r="K901">
        <v>9807</v>
      </c>
      <c r="L901">
        <v>494271</v>
      </c>
      <c r="M901">
        <v>-3698</v>
      </c>
      <c r="N901">
        <v>11901</v>
      </c>
      <c r="O901">
        <v>3445</v>
      </c>
      <c r="P901">
        <v>6602</v>
      </c>
      <c r="Q901">
        <v>1854</v>
      </c>
      <c r="S901">
        <v>0</v>
      </c>
      <c r="T901">
        <v>1390</v>
      </c>
      <c r="U901">
        <v>130</v>
      </c>
      <c r="V901">
        <v>4.0566000000000004</v>
      </c>
      <c r="W901">
        <v>3.9158333333000002</v>
      </c>
      <c r="X901">
        <v>19.0975</v>
      </c>
      <c r="Z901">
        <v>9798.31</v>
      </c>
      <c r="AB901">
        <v>9816.0499999999993</v>
      </c>
      <c r="AD901">
        <v>9806.75</v>
      </c>
      <c r="AF901" t="s">
        <v>182</v>
      </c>
      <c r="AG901" t="s">
        <v>185</v>
      </c>
      <c r="AI901" t="s">
        <v>186</v>
      </c>
      <c r="AJ901" t="s">
        <v>2868</v>
      </c>
      <c r="AK901" t="s">
        <v>188</v>
      </c>
    </row>
    <row r="902" spans="1:37" x14ac:dyDescent="0.3">
      <c r="A902">
        <v>8008</v>
      </c>
      <c r="B902" s="207">
        <v>46121</v>
      </c>
      <c r="C902" t="s">
        <v>438</v>
      </c>
      <c r="D902" t="s">
        <v>2869</v>
      </c>
      <c r="E902" t="s">
        <v>2870</v>
      </c>
      <c r="F902" s="207">
        <v>47634</v>
      </c>
      <c r="G902">
        <v>2.5</v>
      </c>
      <c r="H902">
        <v>1</v>
      </c>
      <c r="I902">
        <v>941</v>
      </c>
      <c r="J902">
        <v>3.597</v>
      </c>
      <c r="K902">
        <v>9773</v>
      </c>
      <c r="L902">
        <v>977</v>
      </c>
      <c r="M902">
        <v>15</v>
      </c>
      <c r="N902">
        <v>21</v>
      </c>
      <c r="O902">
        <v>6</v>
      </c>
      <c r="P902">
        <v>0</v>
      </c>
      <c r="Q902">
        <v>15</v>
      </c>
      <c r="S902">
        <v>0</v>
      </c>
      <c r="T902">
        <v>0</v>
      </c>
      <c r="U902">
        <v>0</v>
      </c>
      <c r="V902">
        <v>4.1415666666000002</v>
      </c>
      <c r="W902">
        <v>3.9982333333</v>
      </c>
      <c r="X902">
        <v>19.807133333300001</v>
      </c>
      <c r="Z902">
        <v>9764.9</v>
      </c>
      <c r="AB902">
        <v>9781.7800000000007</v>
      </c>
      <c r="AD902">
        <v>9773.89</v>
      </c>
      <c r="AF902" t="s">
        <v>182</v>
      </c>
      <c r="AG902" t="s">
        <v>185</v>
      </c>
      <c r="AI902" t="s">
        <v>186</v>
      </c>
      <c r="AJ902" t="s">
        <v>2871</v>
      </c>
      <c r="AK902" t="s">
        <v>188</v>
      </c>
    </row>
    <row r="903" spans="1:37" x14ac:dyDescent="0.3">
      <c r="A903">
        <v>8008</v>
      </c>
      <c r="B903" s="207">
        <v>46121</v>
      </c>
      <c r="C903" t="s">
        <v>438</v>
      </c>
      <c r="D903" t="s">
        <v>2872</v>
      </c>
      <c r="E903" t="s">
        <v>2873</v>
      </c>
      <c r="F903" s="207">
        <v>47664</v>
      </c>
      <c r="G903">
        <v>2.5</v>
      </c>
      <c r="H903">
        <v>531</v>
      </c>
      <c r="I903">
        <v>510825</v>
      </c>
      <c r="J903">
        <v>3.6059999999999999</v>
      </c>
      <c r="K903">
        <v>9741</v>
      </c>
      <c r="L903">
        <v>517247</v>
      </c>
      <c r="M903">
        <v>-3878</v>
      </c>
      <c r="N903">
        <v>10300</v>
      </c>
      <c r="O903">
        <v>3613</v>
      </c>
      <c r="P903">
        <v>4167</v>
      </c>
      <c r="Q903">
        <v>2520</v>
      </c>
      <c r="S903">
        <v>0</v>
      </c>
      <c r="T903">
        <v>1080</v>
      </c>
      <c r="U903">
        <v>100</v>
      </c>
      <c r="V903">
        <v>4.2237666666000004</v>
      </c>
      <c r="W903">
        <v>4.0778666666000003</v>
      </c>
      <c r="X903">
        <v>20.509933333300001</v>
      </c>
      <c r="Z903">
        <v>9732.91</v>
      </c>
      <c r="AB903">
        <v>9748.8799999999992</v>
      </c>
      <c r="AD903">
        <v>9742.0499999999993</v>
      </c>
      <c r="AF903" t="s">
        <v>182</v>
      </c>
      <c r="AG903" t="s">
        <v>185</v>
      </c>
      <c r="AI903" t="s">
        <v>186</v>
      </c>
      <c r="AJ903" t="s">
        <v>2874</v>
      </c>
      <c r="AK903" t="s">
        <v>188</v>
      </c>
    </row>
    <row r="904" spans="1:37" x14ac:dyDescent="0.3">
      <c r="A904">
        <v>8008</v>
      </c>
      <c r="B904" s="207">
        <v>46121</v>
      </c>
      <c r="C904" t="s">
        <v>438</v>
      </c>
      <c r="D904" t="s">
        <v>2875</v>
      </c>
      <c r="E904" t="s">
        <v>2876</v>
      </c>
      <c r="F904" s="207">
        <v>47695</v>
      </c>
      <c r="G904">
        <v>2.5</v>
      </c>
      <c r="H904">
        <v>4176</v>
      </c>
      <c r="I904">
        <v>4012415</v>
      </c>
      <c r="J904">
        <v>3.6160000000000001</v>
      </c>
      <c r="K904">
        <v>9707</v>
      </c>
      <c r="L904">
        <v>4053642</v>
      </c>
      <c r="M904">
        <v>-30862</v>
      </c>
      <c r="N904">
        <v>72089</v>
      </c>
      <c r="O904">
        <v>28356</v>
      </c>
      <c r="P904">
        <v>35354</v>
      </c>
      <c r="Q904">
        <v>8379</v>
      </c>
      <c r="S904">
        <v>0</v>
      </c>
      <c r="T904">
        <v>8910</v>
      </c>
      <c r="U904">
        <v>880</v>
      </c>
      <c r="V904">
        <v>4.3086666665999998</v>
      </c>
      <c r="W904">
        <v>4.1598666666000002</v>
      </c>
      <c r="X904">
        <v>21.252233333300001</v>
      </c>
      <c r="Z904">
        <v>9699.2199999999993</v>
      </c>
      <c r="AB904">
        <v>9715.0499999999993</v>
      </c>
      <c r="AD904">
        <v>9708.91</v>
      </c>
      <c r="AF904" t="s">
        <v>182</v>
      </c>
      <c r="AG904" t="s">
        <v>185</v>
      </c>
      <c r="AI904" t="s">
        <v>186</v>
      </c>
      <c r="AJ904" t="s">
        <v>2877</v>
      </c>
      <c r="AK904" t="s">
        <v>188</v>
      </c>
    </row>
    <row r="905" spans="1:37" x14ac:dyDescent="0.3">
      <c r="A905">
        <v>8008</v>
      </c>
      <c r="B905" s="207">
        <v>46121</v>
      </c>
      <c r="C905" t="s">
        <v>438</v>
      </c>
      <c r="D905" t="s">
        <v>2878</v>
      </c>
      <c r="E905" t="s">
        <v>2879</v>
      </c>
      <c r="F905" s="207">
        <v>47756</v>
      </c>
      <c r="G905">
        <v>2.5</v>
      </c>
      <c r="H905">
        <v>2262</v>
      </c>
      <c r="I905">
        <v>2167458</v>
      </c>
      <c r="J905">
        <v>3.633</v>
      </c>
      <c r="K905">
        <v>9642</v>
      </c>
      <c r="L905">
        <v>2181019</v>
      </c>
      <c r="M905">
        <v>-16010</v>
      </c>
      <c r="N905">
        <v>29571</v>
      </c>
      <c r="O905">
        <v>15269</v>
      </c>
      <c r="P905">
        <v>8988</v>
      </c>
      <c r="Q905">
        <v>5314</v>
      </c>
      <c r="S905">
        <v>0</v>
      </c>
      <c r="T905">
        <v>3380</v>
      </c>
      <c r="U905">
        <v>320</v>
      </c>
      <c r="V905">
        <v>4.4757999999999996</v>
      </c>
      <c r="W905">
        <v>4.3208666665999997</v>
      </c>
      <c r="X905">
        <v>22.7617666666</v>
      </c>
      <c r="Z905">
        <v>9636.26</v>
      </c>
      <c r="AB905">
        <v>9648.01</v>
      </c>
      <c r="AD905">
        <v>9644.6</v>
      </c>
      <c r="AF905" t="s">
        <v>182</v>
      </c>
      <c r="AG905" t="s">
        <v>185</v>
      </c>
      <c r="AI905" t="s">
        <v>186</v>
      </c>
      <c r="AJ905" t="s">
        <v>2880</v>
      </c>
      <c r="AK905" t="s">
        <v>188</v>
      </c>
    </row>
    <row r="906" spans="1:37" x14ac:dyDescent="0.3">
      <c r="A906">
        <v>8008</v>
      </c>
      <c r="B906" s="207">
        <v>46121</v>
      </c>
      <c r="C906" t="s">
        <v>438</v>
      </c>
      <c r="D906" t="s">
        <v>2881</v>
      </c>
      <c r="E906" t="s">
        <v>2882</v>
      </c>
      <c r="F906" s="207">
        <v>47848</v>
      </c>
      <c r="G906">
        <v>2</v>
      </c>
      <c r="H906">
        <v>31</v>
      </c>
      <c r="I906">
        <v>28615</v>
      </c>
      <c r="J906">
        <v>3.661</v>
      </c>
      <c r="K906">
        <v>9313</v>
      </c>
      <c r="L906">
        <v>28870</v>
      </c>
      <c r="M906">
        <v>87</v>
      </c>
      <c r="N906">
        <v>168</v>
      </c>
      <c r="O906">
        <v>118</v>
      </c>
      <c r="P906">
        <v>0</v>
      </c>
      <c r="Q906">
        <v>50</v>
      </c>
      <c r="S906">
        <v>0</v>
      </c>
      <c r="T906">
        <v>10</v>
      </c>
      <c r="U906">
        <v>0</v>
      </c>
      <c r="V906">
        <v>4.7278666665999998</v>
      </c>
      <c r="W906">
        <v>4.5622333333</v>
      </c>
      <c r="X906">
        <v>25.154666666600001</v>
      </c>
      <c r="Z906">
        <v>9307.58</v>
      </c>
      <c r="AB906">
        <v>9316.77</v>
      </c>
      <c r="AD906">
        <v>9316.51</v>
      </c>
      <c r="AF906" t="s">
        <v>182</v>
      </c>
      <c r="AG906" t="s">
        <v>185</v>
      </c>
      <c r="AI906" t="s">
        <v>186</v>
      </c>
      <c r="AJ906" t="s">
        <v>2883</v>
      </c>
      <c r="AK906" t="s">
        <v>188</v>
      </c>
    </row>
    <row r="907" spans="1:37" x14ac:dyDescent="0.3">
      <c r="A907">
        <v>8008</v>
      </c>
      <c r="B907" s="207">
        <v>46121</v>
      </c>
      <c r="C907" t="s">
        <v>438</v>
      </c>
      <c r="D907" t="s">
        <v>2884</v>
      </c>
      <c r="E907" t="s">
        <v>2885</v>
      </c>
      <c r="F907" s="207">
        <v>47879</v>
      </c>
      <c r="G907">
        <v>2</v>
      </c>
      <c r="H907">
        <v>680</v>
      </c>
      <c r="I907">
        <v>629646</v>
      </c>
      <c r="J907">
        <v>3.6709999999999998</v>
      </c>
      <c r="K907">
        <v>9281</v>
      </c>
      <c r="L907">
        <v>631108</v>
      </c>
      <c r="M907">
        <v>-1088</v>
      </c>
      <c r="N907">
        <v>2550</v>
      </c>
      <c r="O907">
        <v>1564</v>
      </c>
      <c r="P907">
        <v>0</v>
      </c>
      <c r="Q907">
        <v>986</v>
      </c>
      <c r="S907">
        <v>0</v>
      </c>
      <c r="T907">
        <v>210</v>
      </c>
      <c r="U907">
        <v>20</v>
      </c>
      <c r="V907">
        <v>4.8128000000000002</v>
      </c>
      <c r="W907">
        <v>4.6432000000000002</v>
      </c>
      <c r="X907">
        <v>25.9916666666</v>
      </c>
      <c r="Z907">
        <v>9274.6299999999992</v>
      </c>
      <c r="AB907">
        <v>9283.5</v>
      </c>
      <c r="AD907">
        <v>9284.98</v>
      </c>
      <c r="AF907" t="s">
        <v>182</v>
      </c>
      <c r="AG907" t="s">
        <v>185</v>
      </c>
      <c r="AI907" t="s">
        <v>186</v>
      </c>
      <c r="AJ907" t="s">
        <v>2886</v>
      </c>
      <c r="AK907" t="s">
        <v>188</v>
      </c>
    </row>
    <row r="908" spans="1:37" x14ac:dyDescent="0.3">
      <c r="A908">
        <v>8008</v>
      </c>
      <c r="B908" s="207">
        <v>46121</v>
      </c>
      <c r="C908" t="s">
        <v>438</v>
      </c>
      <c r="D908" t="s">
        <v>2887</v>
      </c>
      <c r="E908" t="s">
        <v>2888</v>
      </c>
      <c r="F908" s="207">
        <v>47907</v>
      </c>
      <c r="G908">
        <v>2</v>
      </c>
      <c r="H908">
        <v>447</v>
      </c>
      <c r="I908">
        <v>405031</v>
      </c>
      <c r="J908">
        <v>3.681</v>
      </c>
      <c r="K908">
        <v>9251</v>
      </c>
      <c r="L908">
        <v>413519</v>
      </c>
      <c r="M908">
        <v>7493</v>
      </c>
      <c r="N908">
        <v>995</v>
      </c>
      <c r="O908">
        <v>253</v>
      </c>
      <c r="P908">
        <v>0</v>
      </c>
      <c r="Q908">
        <v>742</v>
      </c>
      <c r="S908">
        <v>0</v>
      </c>
      <c r="T908">
        <v>30</v>
      </c>
      <c r="U908">
        <v>0</v>
      </c>
      <c r="V908">
        <v>4.8895</v>
      </c>
      <c r="W908">
        <v>4.7161333333000002</v>
      </c>
      <c r="X908">
        <v>26.7605333333</v>
      </c>
      <c r="Z908">
        <v>9244</v>
      </c>
      <c r="AB908">
        <v>9253.84</v>
      </c>
      <c r="AD908">
        <v>9256.2199999999993</v>
      </c>
      <c r="AF908" t="s">
        <v>182</v>
      </c>
      <c r="AG908" t="s">
        <v>185</v>
      </c>
      <c r="AI908" t="s">
        <v>186</v>
      </c>
      <c r="AJ908" t="s">
        <v>2889</v>
      </c>
      <c r="AK908" t="s">
        <v>188</v>
      </c>
    </row>
    <row r="909" spans="1:37" x14ac:dyDescent="0.3">
      <c r="A909">
        <v>8008</v>
      </c>
      <c r="B909" s="207">
        <v>46121</v>
      </c>
      <c r="C909" t="s">
        <v>438</v>
      </c>
      <c r="D909" t="s">
        <v>3389</v>
      </c>
      <c r="E909" t="s">
        <v>3390</v>
      </c>
      <c r="F909" s="207">
        <v>47968</v>
      </c>
      <c r="G909">
        <v>2</v>
      </c>
      <c r="H909">
        <v>11125</v>
      </c>
      <c r="I909">
        <v>10167093</v>
      </c>
      <c r="J909">
        <v>3.7010000000000001</v>
      </c>
      <c r="K909">
        <v>9187</v>
      </c>
      <c r="L909">
        <v>10220537</v>
      </c>
      <c r="M909">
        <v>53444</v>
      </c>
      <c r="N909">
        <v>0</v>
      </c>
      <c r="O909">
        <v>0</v>
      </c>
      <c r="P909">
        <v>0</v>
      </c>
      <c r="Q909">
        <v>0</v>
      </c>
      <c r="S909">
        <v>0</v>
      </c>
      <c r="T909">
        <v>0</v>
      </c>
      <c r="U909">
        <v>0</v>
      </c>
      <c r="V909">
        <v>5.0566000000000004</v>
      </c>
      <c r="W909">
        <v>4.8758666666000003</v>
      </c>
      <c r="X909">
        <v>28.459566666600001</v>
      </c>
      <c r="Z909">
        <v>9177.61</v>
      </c>
      <c r="AB909">
        <v>9189.0300000000007</v>
      </c>
      <c r="AD909">
        <v>9195.08</v>
      </c>
      <c r="AF909" t="s">
        <v>182</v>
      </c>
      <c r="AG909" t="s">
        <v>185</v>
      </c>
      <c r="AI909" t="s">
        <v>186</v>
      </c>
      <c r="AJ909" t="s">
        <v>3391</v>
      </c>
      <c r="AK909" t="s">
        <v>188</v>
      </c>
    </row>
    <row r="910" spans="1:37" x14ac:dyDescent="0.3">
      <c r="A910">
        <v>8008</v>
      </c>
      <c r="B910" s="207">
        <v>46121</v>
      </c>
      <c r="C910" t="s">
        <v>438</v>
      </c>
      <c r="D910" t="s">
        <v>2890</v>
      </c>
      <c r="E910" t="s">
        <v>2891</v>
      </c>
      <c r="F910" s="207">
        <v>46234</v>
      </c>
      <c r="G910">
        <v>1.05</v>
      </c>
      <c r="H910">
        <v>10</v>
      </c>
      <c r="I910">
        <v>9764</v>
      </c>
      <c r="J910">
        <v>2.7320000000000002</v>
      </c>
      <c r="K910">
        <v>10448</v>
      </c>
      <c r="L910">
        <v>10448</v>
      </c>
      <c r="M910">
        <v>182</v>
      </c>
      <c r="N910">
        <v>502</v>
      </c>
      <c r="O910">
        <v>20</v>
      </c>
      <c r="P910">
        <v>0</v>
      </c>
      <c r="Q910">
        <v>482</v>
      </c>
      <c r="S910">
        <v>0</v>
      </c>
      <c r="T910">
        <v>0</v>
      </c>
      <c r="U910">
        <v>0</v>
      </c>
      <c r="V910">
        <v>0.30773333330000002</v>
      </c>
      <c r="W910">
        <v>0.30143333329999999</v>
      </c>
      <c r="X910">
        <v>0.31636666660000001</v>
      </c>
      <c r="Z910">
        <v>10447.86</v>
      </c>
      <c r="AB910">
        <v>10449.280000000001</v>
      </c>
      <c r="AD910">
        <v>10448.15</v>
      </c>
      <c r="AF910" t="s">
        <v>182</v>
      </c>
      <c r="AG910" t="s">
        <v>185</v>
      </c>
      <c r="AI910" t="s">
        <v>186</v>
      </c>
      <c r="AJ910" t="s">
        <v>2892</v>
      </c>
      <c r="AK910" t="s">
        <v>188</v>
      </c>
    </row>
    <row r="911" spans="1:37" x14ac:dyDescent="0.3">
      <c r="A911">
        <v>8008</v>
      </c>
      <c r="B911" s="207">
        <v>46121</v>
      </c>
      <c r="C911" t="s">
        <v>438</v>
      </c>
      <c r="D911" t="s">
        <v>2893</v>
      </c>
      <c r="E911" t="s">
        <v>2894</v>
      </c>
      <c r="F911" s="207">
        <v>46265</v>
      </c>
      <c r="G911">
        <v>1.05</v>
      </c>
      <c r="H911">
        <v>1891</v>
      </c>
      <c r="I911">
        <v>1834172</v>
      </c>
      <c r="J911">
        <v>2.7730000000000001</v>
      </c>
      <c r="K911">
        <v>10422</v>
      </c>
      <c r="L911">
        <v>1970800</v>
      </c>
      <c r="M911">
        <v>43381</v>
      </c>
      <c r="N911">
        <v>93247</v>
      </c>
      <c r="O911">
        <v>4821</v>
      </c>
      <c r="P911">
        <v>12</v>
      </c>
      <c r="Q911">
        <v>88414</v>
      </c>
      <c r="S911">
        <v>0</v>
      </c>
      <c r="T911">
        <v>670</v>
      </c>
      <c r="U911">
        <v>60</v>
      </c>
      <c r="V911">
        <v>0.39269999999999999</v>
      </c>
      <c r="W911">
        <v>0.38419999999999999</v>
      </c>
      <c r="X911">
        <v>0.44579999999999997</v>
      </c>
      <c r="Z911">
        <v>10421.75</v>
      </c>
      <c r="AB911">
        <v>10423.59</v>
      </c>
      <c r="AD911">
        <v>10423.040000000001</v>
      </c>
      <c r="AF911" t="s">
        <v>182</v>
      </c>
      <c r="AG911" t="s">
        <v>185</v>
      </c>
      <c r="AI911" t="s">
        <v>186</v>
      </c>
      <c r="AJ911" t="s">
        <v>2895</v>
      </c>
      <c r="AK911" t="s">
        <v>188</v>
      </c>
    </row>
    <row r="912" spans="1:37" x14ac:dyDescent="0.3">
      <c r="A912">
        <v>8008</v>
      </c>
      <c r="B912" s="207">
        <v>46121</v>
      </c>
      <c r="C912" t="s">
        <v>438</v>
      </c>
      <c r="D912" t="s">
        <v>2896</v>
      </c>
      <c r="E912" t="s">
        <v>2897</v>
      </c>
      <c r="F912" s="207">
        <v>46326</v>
      </c>
      <c r="G912">
        <v>1.05</v>
      </c>
      <c r="H912">
        <v>15147</v>
      </c>
      <c r="I912">
        <v>14942248</v>
      </c>
      <c r="J912">
        <v>2.835</v>
      </c>
      <c r="K912">
        <v>10371</v>
      </c>
      <c r="L912">
        <v>15708952</v>
      </c>
      <c r="M912">
        <v>47508</v>
      </c>
      <c r="N912">
        <v>719196</v>
      </c>
      <c r="O912">
        <v>44887</v>
      </c>
      <c r="P912">
        <v>661409</v>
      </c>
      <c r="Q912">
        <v>12900</v>
      </c>
      <c r="S912">
        <v>0</v>
      </c>
      <c r="T912">
        <v>98870</v>
      </c>
      <c r="U912">
        <v>9870</v>
      </c>
      <c r="V912">
        <v>0.55979999999999996</v>
      </c>
      <c r="W912">
        <v>0.54663333329999997</v>
      </c>
      <c r="X912">
        <v>0.75286666660000001</v>
      </c>
      <c r="Z912">
        <v>10370.69</v>
      </c>
      <c r="AB912">
        <v>10372.08</v>
      </c>
      <c r="AD912">
        <v>10372.34</v>
      </c>
      <c r="AF912" t="s">
        <v>182</v>
      </c>
      <c r="AG912" t="s">
        <v>185</v>
      </c>
      <c r="AI912" t="s">
        <v>186</v>
      </c>
      <c r="AJ912" t="s">
        <v>2898</v>
      </c>
      <c r="AK912" t="s">
        <v>188</v>
      </c>
    </row>
    <row r="913" spans="1:37" x14ac:dyDescent="0.3">
      <c r="A913">
        <v>8008</v>
      </c>
      <c r="B913" s="207">
        <v>46121</v>
      </c>
      <c r="C913" t="s">
        <v>438</v>
      </c>
      <c r="D913" t="s">
        <v>2899</v>
      </c>
      <c r="E913" t="s">
        <v>2900</v>
      </c>
      <c r="F913" s="207">
        <v>46356</v>
      </c>
      <c r="G913">
        <v>1.05</v>
      </c>
      <c r="H913">
        <v>886</v>
      </c>
      <c r="I913">
        <v>872691</v>
      </c>
      <c r="J913">
        <v>2.8540000000000001</v>
      </c>
      <c r="K913">
        <v>10346</v>
      </c>
      <c r="L913">
        <v>916655</v>
      </c>
      <c r="M913">
        <v>2693</v>
      </c>
      <c r="N913">
        <v>41271</v>
      </c>
      <c r="O913">
        <v>2623</v>
      </c>
      <c r="P913">
        <v>26471</v>
      </c>
      <c r="Q913">
        <v>12177</v>
      </c>
      <c r="S913">
        <v>0</v>
      </c>
      <c r="T913">
        <v>4070</v>
      </c>
      <c r="U913">
        <v>400</v>
      </c>
      <c r="V913">
        <v>0.64200000000000002</v>
      </c>
      <c r="W913">
        <v>0.62626666659999997</v>
      </c>
      <c r="X913">
        <v>0.92920000000000003</v>
      </c>
      <c r="Z913">
        <v>10346.290000000001</v>
      </c>
      <c r="AB913">
        <v>10347.15</v>
      </c>
      <c r="AD913">
        <v>10346.75</v>
      </c>
      <c r="AF913" t="s">
        <v>182</v>
      </c>
      <c r="AG913" t="s">
        <v>185</v>
      </c>
      <c r="AI913" t="s">
        <v>186</v>
      </c>
      <c r="AJ913" t="s">
        <v>2901</v>
      </c>
      <c r="AK913" t="s">
        <v>188</v>
      </c>
    </row>
    <row r="914" spans="1:37" x14ac:dyDescent="0.3">
      <c r="A914">
        <v>8008</v>
      </c>
      <c r="B914" s="207">
        <v>46121</v>
      </c>
      <c r="C914" t="s">
        <v>438</v>
      </c>
      <c r="D914" t="s">
        <v>2902</v>
      </c>
      <c r="E914" t="s">
        <v>2903</v>
      </c>
      <c r="F914" s="207">
        <v>46418</v>
      </c>
      <c r="G914">
        <v>1.05</v>
      </c>
      <c r="H914">
        <v>17566</v>
      </c>
      <c r="I914">
        <v>17246801</v>
      </c>
      <c r="J914">
        <v>2.915</v>
      </c>
      <c r="K914">
        <v>10292</v>
      </c>
      <c r="L914">
        <v>18078927</v>
      </c>
      <c r="M914">
        <v>46452</v>
      </c>
      <c r="N914">
        <v>785674</v>
      </c>
      <c r="O914">
        <v>51918</v>
      </c>
      <c r="P914">
        <v>721193</v>
      </c>
      <c r="Q914">
        <v>12563</v>
      </c>
      <c r="S914">
        <v>0</v>
      </c>
      <c r="T914">
        <v>108230</v>
      </c>
      <c r="U914">
        <v>10820</v>
      </c>
      <c r="V914">
        <v>0.81189999999999996</v>
      </c>
      <c r="W914">
        <v>0.7903</v>
      </c>
      <c r="X914">
        <v>1.3450666666</v>
      </c>
      <c r="Z914">
        <v>10292.44</v>
      </c>
      <c r="AB914">
        <v>10293.469999999999</v>
      </c>
      <c r="AD914">
        <v>10292.27</v>
      </c>
      <c r="AF914" t="s">
        <v>182</v>
      </c>
      <c r="AG914" t="s">
        <v>185</v>
      </c>
      <c r="AI914" t="s">
        <v>186</v>
      </c>
      <c r="AJ914" t="s">
        <v>2904</v>
      </c>
      <c r="AK914" t="s">
        <v>188</v>
      </c>
    </row>
    <row r="915" spans="1:37" x14ac:dyDescent="0.3">
      <c r="A915">
        <v>8008</v>
      </c>
      <c r="B915" s="207">
        <v>46121</v>
      </c>
      <c r="C915" t="s">
        <v>438</v>
      </c>
      <c r="D915" t="s">
        <v>2905</v>
      </c>
      <c r="E915" t="s">
        <v>2906</v>
      </c>
      <c r="F915" s="207">
        <v>46477</v>
      </c>
      <c r="G915">
        <v>1.05</v>
      </c>
      <c r="H915">
        <v>18658</v>
      </c>
      <c r="I915">
        <v>18258459</v>
      </c>
      <c r="J915">
        <v>2.9889999999999999</v>
      </c>
      <c r="K915">
        <v>10238</v>
      </c>
      <c r="L915">
        <v>19102060</v>
      </c>
      <c r="M915">
        <v>41969</v>
      </c>
      <c r="N915">
        <v>801632</v>
      </c>
      <c r="O915">
        <v>55053</v>
      </c>
      <c r="P915">
        <v>731089</v>
      </c>
      <c r="Q915">
        <v>15490</v>
      </c>
      <c r="S915">
        <v>0</v>
      </c>
      <c r="T915">
        <v>110050</v>
      </c>
      <c r="U915">
        <v>11000</v>
      </c>
      <c r="V915">
        <v>0.97350000000000003</v>
      </c>
      <c r="W915">
        <v>0.94550000000000001</v>
      </c>
      <c r="X915">
        <v>1.8039000000000001</v>
      </c>
      <c r="Z915">
        <v>10239.23</v>
      </c>
      <c r="AB915">
        <v>10237.719999999999</v>
      </c>
      <c r="AD915">
        <v>10238.06</v>
      </c>
      <c r="AF915" t="s">
        <v>182</v>
      </c>
      <c r="AG915" t="s">
        <v>185</v>
      </c>
      <c r="AI915" t="s">
        <v>186</v>
      </c>
      <c r="AJ915" t="s">
        <v>2907</v>
      </c>
      <c r="AK915" t="s">
        <v>188</v>
      </c>
    </row>
    <row r="916" spans="1:37" x14ac:dyDescent="0.3">
      <c r="A916">
        <v>8008</v>
      </c>
      <c r="B916" s="207">
        <v>46121</v>
      </c>
      <c r="C916" t="s">
        <v>438</v>
      </c>
      <c r="D916" t="s">
        <v>2908</v>
      </c>
      <c r="E916" t="s">
        <v>2909</v>
      </c>
      <c r="F916" s="207">
        <v>46507</v>
      </c>
      <c r="G916">
        <v>1.05</v>
      </c>
      <c r="H916">
        <v>6818</v>
      </c>
      <c r="I916">
        <v>6660358</v>
      </c>
      <c r="J916">
        <v>3.02</v>
      </c>
      <c r="K916">
        <v>10210</v>
      </c>
      <c r="L916">
        <v>6961178</v>
      </c>
      <c r="M916">
        <v>13990</v>
      </c>
      <c r="N916">
        <v>286830</v>
      </c>
      <c r="O916">
        <v>20100</v>
      </c>
      <c r="P916">
        <v>260289</v>
      </c>
      <c r="Q916">
        <v>6441</v>
      </c>
      <c r="S916">
        <v>0</v>
      </c>
      <c r="T916">
        <v>39250</v>
      </c>
      <c r="U916">
        <v>3920</v>
      </c>
      <c r="V916">
        <v>1.0557000000000001</v>
      </c>
      <c r="W916">
        <v>1.0252666666000001</v>
      </c>
      <c r="X916">
        <v>2.0296666665999998</v>
      </c>
      <c r="Z916">
        <v>10210.969999999999</v>
      </c>
      <c r="AB916">
        <v>10209.64</v>
      </c>
      <c r="AD916">
        <v>10210.030000000001</v>
      </c>
      <c r="AF916" t="s">
        <v>182</v>
      </c>
      <c r="AG916" t="s">
        <v>185</v>
      </c>
      <c r="AI916" t="s">
        <v>186</v>
      </c>
      <c r="AJ916" t="s">
        <v>2910</v>
      </c>
      <c r="AK916" t="s">
        <v>188</v>
      </c>
    </row>
    <row r="917" spans="1:37" x14ac:dyDescent="0.3">
      <c r="A917">
        <v>8008</v>
      </c>
      <c r="B917" s="207">
        <v>46121</v>
      </c>
      <c r="C917" t="s">
        <v>438</v>
      </c>
      <c r="D917" t="s">
        <v>2911</v>
      </c>
      <c r="E917" t="s">
        <v>2912</v>
      </c>
      <c r="F917" s="207">
        <v>46568</v>
      </c>
      <c r="G917">
        <v>1.05</v>
      </c>
      <c r="H917">
        <v>83493</v>
      </c>
      <c r="I917">
        <v>81247155</v>
      </c>
      <c r="J917">
        <v>3.0779999999999998</v>
      </c>
      <c r="K917">
        <v>10152</v>
      </c>
      <c r="L917">
        <v>84762091</v>
      </c>
      <c r="M917">
        <v>154174</v>
      </c>
      <c r="N917">
        <v>3360762</v>
      </c>
      <c r="O917">
        <v>244395</v>
      </c>
      <c r="P917">
        <v>2963010</v>
      </c>
      <c r="Q917">
        <v>153357</v>
      </c>
      <c r="S917">
        <v>0</v>
      </c>
      <c r="T917">
        <v>449000</v>
      </c>
      <c r="U917">
        <v>44860</v>
      </c>
      <c r="V917">
        <v>1.2228333333000001</v>
      </c>
      <c r="W917">
        <v>1.1880333332999999</v>
      </c>
      <c r="X917">
        <v>2.5088333333000001</v>
      </c>
      <c r="Z917">
        <v>10151.92</v>
      </c>
      <c r="AB917">
        <v>10152.41</v>
      </c>
      <c r="AD917">
        <v>10151.92</v>
      </c>
      <c r="AF917" t="s">
        <v>182</v>
      </c>
      <c r="AG917" t="s">
        <v>185</v>
      </c>
      <c r="AI917" t="s">
        <v>186</v>
      </c>
      <c r="AJ917" t="s">
        <v>2913</v>
      </c>
      <c r="AK917" t="s">
        <v>188</v>
      </c>
    </row>
    <row r="918" spans="1:37" x14ac:dyDescent="0.3">
      <c r="A918">
        <v>8008</v>
      </c>
      <c r="B918" s="207">
        <v>46121</v>
      </c>
      <c r="C918" t="s">
        <v>438</v>
      </c>
      <c r="D918" t="s">
        <v>2914</v>
      </c>
      <c r="E918" t="s">
        <v>2915</v>
      </c>
      <c r="F918" s="207">
        <v>46599</v>
      </c>
      <c r="G918">
        <v>1.05</v>
      </c>
      <c r="H918">
        <v>20417</v>
      </c>
      <c r="I918">
        <v>19835335</v>
      </c>
      <c r="J918">
        <v>3.1059999999999999</v>
      </c>
      <c r="K918">
        <v>10122</v>
      </c>
      <c r="L918">
        <v>20666087</v>
      </c>
      <c r="M918">
        <v>27760</v>
      </c>
      <c r="N918">
        <v>802992</v>
      </c>
      <c r="O918">
        <v>60033</v>
      </c>
      <c r="P918">
        <v>705130</v>
      </c>
      <c r="Q918">
        <v>37829</v>
      </c>
      <c r="S918">
        <v>0</v>
      </c>
      <c r="T918">
        <v>107120</v>
      </c>
      <c r="U918">
        <v>10710</v>
      </c>
      <c r="V918">
        <v>1.3077333333000001</v>
      </c>
      <c r="W918">
        <v>1.2705</v>
      </c>
      <c r="X918">
        <v>2.7788333333000002</v>
      </c>
      <c r="Z918">
        <v>10121.36</v>
      </c>
      <c r="AB918">
        <v>10122.91</v>
      </c>
      <c r="AD918">
        <v>10122</v>
      </c>
      <c r="AF918" t="s">
        <v>182</v>
      </c>
      <c r="AG918" t="s">
        <v>185</v>
      </c>
      <c r="AI918" t="s">
        <v>186</v>
      </c>
      <c r="AJ918" t="s">
        <v>2916</v>
      </c>
      <c r="AK918" t="s">
        <v>188</v>
      </c>
    </row>
    <row r="919" spans="1:37" x14ac:dyDescent="0.3">
      <c r="A919">
        <v>8008</v>
      </c>
      <c r="B919" s="207">
        <v>46121</v>
      </c>
      <c r="C919" t="s">
        <v>438</v>
      </c>
      <c r="D919" t="s">
        <v>2917</v>
      </c>
      <c r="E919" t="s">
        <v>2918</v>
      </c>
      <c r="F919" s="207">
        <v>46630</v>
      </c>
      <c r="G919">
        <v>1.05</v>
      </c>
      <c r="H919">
        <v>12884</v>
      </c>
      <c r="I919">
        <v>12495287</v>
      </c>
      <c r="J919">
        <v>3.1349999999999998</v>
      </c>
      <c r="K919">
        <v>10091</v>
      </c>
      <c r="L919">
        <v>13001243</v>
      </c>
      <c r="M919">
        <v>11109</v>
      </c>
      <c r="N919">
        <v>494847</v>
      </c>
      <c r="O919">
        <v>37850</v>
      </c>
      <c r="P919">
        <v>337829</v>
      </c>
      <c r="Q919">
        <v>119168</v>
      </c>
      <c r="S919">
        <v>0</v>
      </c>
      <c r="T919">
        <v>52570</v>
      </c>
      <c r="U919">
        <v>5240</v>
      </c>
      <c r="V919">
        <v>1.3927</v>
      </c>
      <c r="W919">
        <v>1.3527333333</v>
      </c>
      <c r="X919">
        <v>3.0663666666</v>
      </c>
      <c r="Z919">
        <v>10090.549999999999</v>
      </c>
      <c r="AB919">
        <v>10093.290000000001</v>
      </c>
      <c r="AD919">
        <v>10091.64</v>
      </c>
      <c r="AF919" t="s">
        <v>182</v>
      </c>
      <c r="AG919" t="s">
        <v>185</v>
      </c>
      <c r="AI919" t="s">
        <v>186</v>
      </c>
      <c r="AJ919" t="s">
        <v>2919</v>
      </c>
      <c r="AK919" t="s">
        <v>188</v>
      </c>
    </row>
    <row r="920" spans="1:37" x14ac:dyDescent="0.3">
      <c r="A920">
        <v>8008</v>
      </c>
      <c r="B920" s="207">
        <v>46121</v>
      </c>
      <c r="C920" t="s">
        <v>438</v>
      </c>
      <c r="D920" t="s">
        <v>2920</v>
      </c>
      <c r="E920" t="s">
        <v>2921</v>
      </c>
      <c r="F920" s="207">
        <v>46691</v>
      </c>
      <c r="G920">
        <v>1.05</v>
      </c>
      <c r="H920">
        <v>33330</v>
      </c>
      <c r="I920">
        <v>32207971</v>
      </c>
      <c r="J920">
        <v>3.1850000000000001</v>
      </c>
      <c r="K920">
        <v>10032</v>
      </c>
      <c r="L920">
        <v>33436655</v>
      </c>
      <c r="M920">
        <v>8910</v>
      </c>
      <c r="N920">
        <v>1219774</v>
      </c>
      <c r="O920">
        <v>97745</v>
      </c>
      <c r="P920">
        <v>585922</v>
      </c>
      <c r="Q920">
        <v>536107</v>
      </c>
      <c r="S920">
        <v>0</v>
      </c>
      <c r="T920">
        <v>95700</v>
      </c>
      <c r="U920">
        <v>9560</v>
      </c>
      <c r="V920">
        <v>1.5598000000000001</v>
      </c>
      <c r="W920">
        <v>1.5141333333</v>
      </c>
      <c r="X920">
        <v>3.6831666666</v>
      </c>
      <c r="Z920">
        <v>10030.370000000001</v>
      </c>
      <c r="AB920">
        <v>10034.459999999999</v>
      </c>
      <c r="AD920">
        <v>10031.74</v>
      </c>
      <c r="AF920" t="s">
        <v>182</v>
      </c>
      <c r="AG920" t="s">
        <v>185</v>
      </c>
      <c r="AI920" t="s">
        <v>186</v>
      </c>
      <c r="AJ920" t="s">
        <v>2922</v>
      </c>
      <c r="AK920" t="s">
        <v>188</v>
      </c>
    </row>
    <row r="921" spans="1:37" x14ac:dyDescent="0.3">
      <c r="A921">
        <v>8008</v>
      </c>
      <c r="B921" s="207">
        <v>46121</v>
      </c>
      <c r="C921" t="s">
        <v>438</v>
      </c>
      <c r="D921" t="s">
        <v>2923</v>
      </c>
      <c r="E921" t="s">
        <v>2924</v>
      </c>
      <c r="F921" s="207">
        <v>46752</v>
      </c>
      <c r="G921">
        <v>1.05</v>
      </c>
      <c r="H921">
        <v>12459</v>
      </c>
      <c r="I921">
        <v>11996006</v>
      </c>
      <c r="J921">
        <v>3.2290000000000001</v>
      </c>
      <c r="K921">
        <v>9972</v>
      </c>
      <c r="L921">
        <v>12424114</v>
      </c>
      <c r="M921">
        <v>-5325</v>
      </c>
      <c r="N921">
        <v>433433</v>
      </c>
      <c r="O921">
        <v>36473</v>
      </c>
      <c r="P921">
        <v>319145</v>
      </c>
      <c r="Q921">
        <v>77815</v>
      </c>
      <c r="S921">
        <v>0</v>
      </c>
      <c r="T921">
        <v>49770</v>
      </c>
      <c r="U921">
        <v>4960</v>
      </c>
      <c r="V921">
        <v>1.7269333333000001</v>
      </c>
      <c r="W921">
        <v>1.6749333333</v>
      </c>
      <c r="X921">
        <v>4.3666333333000003</v>
      </c>
      <c r="Z921">
        <v>9970.1299999999992</v>
      </c>
      <c r="AB921">
        <v>9975.7800000000007</v>
      </c>
      <c r="AD921">
        <v>9972.1299999999992</v>
      </c>
      <c r="AF921" t="s">
        <v>182</v>
      </c>
      <c r="AG921" t="s">
        <v>185</v>
      </c>
      <c r="AI921" t="s">
        <v>186</v>
      </c>
      <c r="AJ921" t="s">
        <v>2925</v>
      </c>
      <c r="AK921" t="s">
        <v>188</v>
      </c>
    </row>
    <row r="922" spans="1:37" x14ac:dyDescent="0.3">
      <c r="A922">
        <v>8008</v>
      </c>
      <c r="B922" s="207">
        <v>46121</v>
      </c>
      <c r="C922" t="s">
        <v>438</v>
      </c>
      <c r="D922" t="s">
        <v>2926</v>
      </c>
      <c r="E922" t="s">
        <v>2927</v>
      </c>
      <c r="F922" s="207">
        <v>46783</v>
      </c>
      <c r="G922">
        <v>2.5</v>
      </c>
      <c r="H922">
        <v>6802</v>
      </c>
      <c r="I922">
        <v>6735972</v>
      </c>
      <c r="J922">
        <v>3.25</v>
      </c>
      <c r="K922">
        <v>10676</v>
      </c>
      <c r="L922">
        <v>7261815</v>
      </c>
      <c r="M922">
        <v>-31438</v>
      </c>
      <c r="N922">
        <v>557281</v>
      </c>
      <c r="O922">
        <v>49123</v>
      </c>
      <c r="P922">
        <v>477840</v>
      </c>
      <c r="Q922">
        <v>30318</v>
      </c>
      <c r="S922">
        <v>0</v>
      </c>
      <c r="T922">
        <v>73770</v>
      </c>
      <c r="U922">
        <v>7370</v>
      </c>
      <c r="V922">
        <v>1.8119000000000001</v>
      </c>
      <c r="W922">
        <v>1.7564333333</v>
      </c>
      <c r="X922">
        <v>4.7390333333000001</v>
      </c>
      <c r="Z922">
        <v>10673.66</v>
      </c>
      <c r="AB922">
        <v>10680.12</v>
      </c>
      <c r="AD922">
        <v>10675.72</v>
      </c>
      <c r="AF922" t="s">
        <v>182</v>
      </c>
      <c r="AG922" t="s">
        <v>185</v>
      </c>
      <c r="AI922" t="s">
        <v>186</v>
      </c>
      <c r="AJ922" t="s">
        <v>2928</v>
      </c>
      <c r="AK922" t="s">
        <v>188</v>
      </c>
    </row>
    <row r="923" spans="1:37" x14ac:dyDescent="0.3">
      <c r="A923">
        <v>8008</v>
      </c>
      <c r="B923" s="207">
        <v>46121</v>
      </c>
      <c r="C923" t="s">
        <v>438</v>
      </c>
      <c r="D923" t="s">
        <v>2929</v>
      </c>
      <c r="E923" t="s">
        <v>2930</v>
      </c>
      <c r="F923" s="207">
        <v>46812</v>
      </c>
      <c r="G923">
        <v>2.5</v>
      </c>
      <c r="H923">
        <v>12446</v>
      </c>
      <c r="I923">
        <v>12314404</v>
      </c>
      <c r="J923">
        <v>3.2709999999999999</v>
      </c>
      <c r="K923">
        <v>10646</v>
      </c>
      <c r="L923">
        <v>13250011</v>
      </c>
      <c r="M923">
        <v>-58600</v>
      </c>
      <c r="N923">
        <v>994207</v>
      </c>
      <c r="O923">
        <v>89715</v>
      </c>
      <c r="P923">
        <v>668107</v>
      </c>
      <c r="Q923">
        <v>236385</v>
      </c>
      <c r="S923">
        <v>0</v>
      </c>
      <c r="T923">
        <v>106080</v>
      </c>
      <c r="U923">
        <v>10600</v>
      </c>
      <c r="V923">
        <v>1.8895</v>
      </c>
      <c r="W923">
        <v>1.8297666666000001</v>
      </c>
      <c r="X923">
        <v>5.0894666665999999</v>
      </c>
      <c r="Z923">
        <v>10643</v>
      </c>
      <c r="AB923">
        <v>10650.68</v>
      </c>
      <c r="AD923">
        <v>10645.73</v>
      </c>
      <c r="AF923" t="s">
        <v>182</v>
      </c>
      <c r="AG923" t="s">
        <v>185</v>
      </c>
      <c r="AI923" t="s">
        <v>186</v>
      </c>
      <c r="AJ923" t="s">
        <v>2931</v>
      </c>
      <c r="AK923" t="s">
        <v>188</v>
      </c>
    </row>
    <row r="924" spans="1:37" x14ac:dyDescent="0.3">
      <c r="A924">
        <v>8008</v>
      </c>
      <c r="B924" s="207">
        <v>46121</v>
      </c>
      <c r="C924" t="s">
        <v>438</v>
      </c>
      <c r="D924" t="s">
        <v>2932</v>
      </c>
      <c r="E924" t="s">
        <v>2933</v>
      </c>
      <c r="F924" s="207">
        <v>46843</v>
      </c>
      <c r="G924">
        <v>2.5</v>
      </c>
      <c r="H924">
        <v>4027</v>
      </c>
      <c r="I924">
        <v>3980181</v>
      </c>
      <c r="J924">
        <v>3.29</v>
      </c>
      <c r="K924">
        <v>10613</v>
      </c>
      <c r="L924">
        <v>4273855</v>
      </c>
      <c r="M924">
        <v>-18899</v>
      </c>
      <c r="N924">
        <v>312573</v>
      </c>
      <c r="O924">
        <v>28967</v>
      </c>
      <c r="P924">
        <v>238075</v>
      </c>
      <c r="Q924">
        <v>45531</v>
      </c>
      <c r="S924">
        <v>0</v>
      </c>
      <c r="T924">
        <v>37380</v>
      </c>
      <c r="U924">
        <v>3730</v>
      </c>
      <c r="V924">
        <v>1.9743999999999999</v>
      </c>
      <c r="W924">
        <v>1.9109</v>
      </c>
      <c r="X924">
        <v>5.4935999999999998</v>
      </c>
      <c r="Z924">
        <v>10611.35</v>
      </c>
      <c r="AB924">
        <v>10617.92</v>
      </c>
      <c r="AD924">
        <v>10612.57</v>
      </c>
      <c r="AF924" t="s">
        <v>182</v>
      </c>
      <c r="AG924" t="s">
        <v>185</v>
      </c>
      <c r="AI924" t="s">
        <v>186</v>
      </c>
      <c r="AJ924" t="s">
        <v>2934</v>
      </c>
      <c r="AK924" t="s">
        <v>188</v>
      </c>
    </row>
    <row r="925" spans="1:37" x14ac:dyDescent="0.3">
      <c r="A925">
        <v>8008</v>
      </c>
      <c r="B925" s="207">
        <v>46121</v>
      </c>
      <c r="C925" t="s">
        <v>438</v>
      </c>
      <c r="D925" t="s">
        <v>2935</v>
      </c>
      <c r="E925" t="s">
        <v>2936</v>
      </c>
      <c r="F925" s="207">
        <v>46873</v>
      </c>
      <c r="G925">
        <v>2.5</v>
      </c>
      <c r="H925">
        <v>8237</v>
      </c>
      <c r="I925">
        <v>8133576</v>
      </c>
      <c r="J925">
        <v>3.3050000000000002</v>
      </c>
      <c r="K925">
        <v>10582</v>
      </c>
      <c r="L925">
        <v>8716393</v>
      </c>
      <c r="M925">
        <v>-38537</v>
      </c>
      <c r="N925">
        <v>621354</v>
      </c>
      <c r="O925">
        <v>59130</v>
      </c>
      <c r="P925">
        <v>347155</v>
      </c>
      <c r="Q925">
        <v>215069</v>
      </c>
      <c r="S925">
        <v>0</v>
      </c>
      <c r="T925">
        <v>56870</v>
      </c>
      <c r="U925">
        <v>5680</v>
      </c>
      <c r="V925">
        <v>2.0566</v>
      </c>
      <c r="W925">
        <v>1.9904999999999999</v>
      </c>
      <c r="X925">
        <v>5.8721666666000001</v>
      </c>
      <c r="Z925">
        <v>10579.74</v>
      </c>
      <c r="AB925">
        <v>10586.56</v>
      </c>
      <c r="AD925">
        <v>10581.01</v>
      </c>
      <c r="AF925" t="s">
        <v>182</v>
      </c>
      <c r="AG925" t="s">
        <v>185</v>
      </c>
      <c r="AI925" t="s">
        <v>186</v>
      </c>
      <c r="AJ925" t="s">
        <v>2937</v>
      </c>
      <c r="AK925" t="s">
        <v>188</v>
      </c>
    </row>
    <row r="926" spans="1:37" x14ac:dyDescent="0.3">
      <c r="A926">
        <v>8008</v>
      </c>
      <c r="B926" s="207">
        <v>46121</v>
      </c>
      <c r="C926" t="s">
        <v>438</v>
      </c>
      <c r="D926" t="s">
        <v>2938</v>
      </c>
      <c r="E926" t="s">
        <v>2939</v>
      </c>
      <c r="F926" s="207">
        <v>46934</v>
      </c>
      <c r="G926">
        <v>2.5</v>
      </c>
      <c r="H926">
        <v>2577</v>
      </c>
      <c r="I926">
        <v>2539002</v>
      </c>
      <c r="J926">
        <v>3.3290000000000002</v>
      </c>
      <c r="K926">
        <v>10518</v>
      </c>
      <c r="L926">
        <v>2710488</v>
      </c>
      <c r="M926">
        <v>-11495</v>
      </c>
      <c r="N926">
        <v>182981</v>
      </c>
      <c r="O926">
        <v>18363</v>
      </c>
      <c r="P926">
        <v>158165</v>
      </c>
      <c r="Q926">
        <v>6453</v>
      </c>
      <c r="S926">
        <v>0</v>
      </c>
      <c r="T926">
        <v>24690</v>
      </c>
      <c r="U926">
        <v>2450</v>
      </c>
      <c r="V926">
        <v>2.2237666666</v>
      </c>
      <c r="W926">
        <v>2.1530333332999998</v>
      </c>
      <c r="X926">
        <v>6.6643333333000001</v>
      </c>
      <c r="Z926">
        <v>10516.97</v>
      </c>
      <c r="AB926">
        <v>10522.72</v>
      </c>
      <c r="AD926">
        <v>10516.97</v>
      </c>
      <c r="AF926" t="s">
        <v>182</v>
      </c>
      <c r="AG926" t="s">
        <v>185</v>
      </c>
      <c r="AI926" t="s">
        <v>186</v>
      </c>
      <c r="AJ926" t="s">
        <v>2940</v>
      </c>
      <c r="AK926" t="s">
        <v>188</v>
      </c>
    </row>
    <row r="927" spans="1:37" x14ac:dyDescent="0.3">
      <c r="A927">
        <v>8008</v>
      </c>
      <c r="B927" s="207">
        <v>46121</v>
      </c>
      <c r="C927" t="s">
        <v>438</v>
      </c>
      <c r="D927" t="s">
        <v>2941</v>
      </c>
      <c r="E927" t="s">
        <v>2942</v>
      </c>
      <c r="F927" s="207">
        <v>46965</v>
      </c>
      <c r="G927">
        <v>2.5</v>
      </c>
      <c r="H927">
        <v>20000</v>
      </c>
      <c r="I927">
        <v>19689444</v>
      </c>
      <c r="J927">
        <v>3.3410000000000002</v>
      </c>
      <c r="K927">
        <v>10486</v>
      </c>
      <c r="L927">
        <v>20972000</v>
      </c>
      <c r="M927">
        <v>-92682</v>
      </c>
      <c r="N927">
        <v>1375238</v>
      </c>
      <c r="O927">
        <v>142682</v>
      </c>
      <c r="P927">
        <v>1158858</v>
      </c>
      <c r="Q927">
        <v>73698</v>
      </c>
      <c r="S927">
        <v>0</v>
      </c>
      <c r="T927">
        <v>182200</v>
      </c>
      <c r="U927">
        <v>18210</v>
      </c>
      <c r="V927">
        <v>2.3086666666000002</v>
      </c>
      <c r="W927">
        <v>2.2354333333</v>
      </c>
      <c r="X927">
        <v>7.0929333333000004</v>
      </c>
      <c r="Z927">
        <v>10485.34</v>
      </c>
      <c r="AB927">
        <v>10490.35</v>
      </c>
      <c r="AD927">
        <v>10484.4</v>
      </c>
      <c r="AF927" t="s">
        <v>182</v>
      </c>
      <c r="AG927" t="s">
        <v>185</v>
      </c>
      <c r="AI927" t="s">
        <v>186</v>
      </c>
      <c r="AJ927" t="s">
        <v>2943</v>
      </c>
      <c r="AK927" t="s">
        <v>188</v>
      </c>
    </row>
    <row r="928" spans="1:37" x14ac:dyDescent="0.3">
      <c r="A928">
        <v>8008</v>
      </c>
      <c r="B928" s="207">
        <v>46121</v>
      </c>
      <c r="C928" t="s">
        <v>438</v>
      </c>
      <c r="D928" t="s">
        <v>2944</v>
      </c>
      <c r="E928" t="s">
        <v>2945</v>
      </c>
      <c r="F928" s="207">
        <v>46996</v>
      </c>
      <c r="G928">
        <v>2.5</v>
      </c>
      <c r="H928">
        <v>39805</v>
      </c>
      <c r="I928">
        <v>39148067</v>
      </c>
      <c r="J928">
        <v>3.355</v>
      </c>
      <c r="K928">
        <v>10454</v>
      </c>
      <c r="L928">
        <v>41612146</v>
      </c>
      <c r="M928">
        <v>-183862</v>
      </c>
      <c r="N928">
        <v>2647941</v>
      </c>
      <c r="O928">
        <v>283375</v>
      </c>
      <c r="P928">
        <v>2170190</v>
      </c>
      <c r="Q928">
        <v>194376</v>
      </c>
      <c r="S928">
        <v>0</v>
      </c>
      <c r="T928">
        <v>343470</v>
      </c>
      <c r="U928">
        <v>34330</v>
      </c>
      <c r="V928">
        <v>2.3936000000000002</v>
      </c>
      <c r="W928">
        <v>2.3175666665999999</v>
      </c>
      <c r="X928">
        <v>7.5385333333000002</v>
      </c>
      <c r="Z928">
        <v>10452.52</v>
      </c>
      <c r="AB928">
        <v>10457.700000000001</v>
      </c>
      <c r="AD928">
        <v>10451.799999999999</v>
      </c>
      <c r="AF928" t="s">
        <v>182</v>
      </c>
      <c r="AG928" t="s">
        <v>185</v>
      </c>
      <c r="AI928" t="s">
        <v>186</v>
      </c>
      <c r="AJ928" t="s">
        <v>2946</v>
      </c>
      <c r="AK928" t="s">
        <v>188</v>
      </c>
    </row>
    <row r="929" spans="1:37" x14ac:dyDescent="0.3">
      <c r="A929">
        <v>8008</v>
      </c>
      <c r="B929" s="207">
        <v>46121</v>
      </c>
      <c r="C929" t="s">
        <v>438</v>
      </c>
      <c r="D929" t="s">
        <v>2947</v>
      </c>
      <c r="E929" t="s">
        <v>2948</v>
      </c>
      <c r="F929" s="207">
        <v>47057</v>
      </c>
      <c r="G929">
        <v>2.5</v>
      </c>
      <c r="H929">
        <v>5862</v>
      </c>
      <c r="I929">
        <v>5753313</v>
      </c>
      <c r="J929">
        <v>3.3929999999999998</v>
      </c>
      <c r="K929">
        <v>10386</v>
      </c>
      <c r="L929">
        <v>6088273</v>
      </c>
      <c r="M929">
        <v>-29250</v>
      </c>
      <c r="N929">
        <v>364210</v>
      </c>
      <c r="O929">
        <v>41560</v>
      </c>
      <c r="P929">
        <v>277390</v>
      </c>
      <c r="Q929">
        <v>45260</v>
      </c>
      <c r="S929">
        <v>0</v>
      </c>
      <c r="T929">
        <v>44650</v>
      </c>
      <c r="U929">
        <v>4460</v>
      </c>
      <c r="V929">
        <v>2.5607000000000002</v>
      </c>
      <c r="W929">
        <v>2.4784666666000001</v>
      </c>
      <c r="X929">
        <v>8.4631333333000001</v>
      </c>
      <c r="Z929">
        <v>10385.35</v>
      </c>
      <c r="AB929">
        <v>10390.07</v>
      </c>
      <c r="AD929">
        <v>10384.06</v>
      </c>
      <c r="AF929" t="s">
        <v>182</v>
      </c>
      <c r="AG929" t="s">
        <v>185</v>
      </c>
      <c r="AI929" t="s">
        <v>186</v>
      </c>
      <c r="AJ929" t="s">
        <v>2949</v>
      </c>
      <c r="AK929" t="s">
        <v>188</v>
      </c>
    </row>
    <row r="930" spans="1:37" x14ac:dyDescent="0.3">
      <c r="A930">
        <v>8008</v>
      </c>
      <c r="B930" s="207">
        <v>46121</v>
      </c>
      <c r="C930" t="s">
        <v>438</v>
      </c>
      <c r="D930" t="s">
        <v>2950</v>
      </c>
      <c r="E930" t="s">
        <v>2951</v>
      </c>
      <c r="F930" s="207">
        <v>47087</v>
      </c>
      <c r="G930">
        <v>2.5</v>
      </c>
      <c r="H930">
        <v>13286</v>
      </c>
      <c r="I930">
        <v>13025570</v>
      </c>
      <c r="J930">
        <v>3.4239999999999999</v>
      </c>
      <c r="K930">
        <v>10350</v>
      </c>
      <c r="L930">
        <v>13751010</v>
      </c>
      <c r="M930">
        <v>-71417</v>
      </c>
      <c r="N930">
        <v>796857</v>
      </c>
      <c r="O930">
        <v>94004</v>
      </c>
      <c r="P930">
        <v>320494</v>
      </c>
      <c r="Q930">
        <v>382359</v>
      </c>
      <c r="S930">
        <v>0</v>
      </c>
      <c r="T930">
        <v>58010</v>
      </c>
      <c r="U930">
        <v>5790</v>
      </c>
      <c r="V930">
        <v>2.6429</v>
      </c>
      <c r="W930">
        <v>2.5570333333000002</v>
      </c>
      <c r="X930">
        <v>8.9396666666000009</v>
      </c>
      <c r="Z930">
        <v>10348.48</v>
      </c>
      <c r="AB930">
        <v>10353.59</v>
      </c>
      <c r="AD930">
        <v>10348.209999999999</v>
      </c>
      <c r="AF930" t="s">
        <v>182</v>
      </c>
      <c r="AG930" t="s">
        <v>185</v>
      </c>
      <c r="AI930" t="s">
        <v>186</v>
      </c>
      <c r="AJ930" t="s">
        <v>2952</v>
      </c>
      <c r="AK930" t="s">
        <v>188</v>
      </c>
    </row>
    <row r="931" spans="1:37" x14ac:dyDescent="0.3">
      <c r="A931">
        <v>8008</v>
      </c>
      <c r="B931" s="207">
        <v>46121</v>
      </c>
      <c r="C931" t="s">
        <v>438</v>
      </c>
      <c r="D931" t="s">
        <v>2953</v>
      </c>
      <c r="E931" t="s">
        <v>2954</v>
      </c>
      <c r="F931" s="207">
        <v>47118</v>
      </c>
      <c r="G931">
        <v>2.5</v>
      </c>
      <c r="H931">
        <v>329</v>
      </c>
      <c r="I931">
        <v>322223</v>
      </c>
      <c r="J931">
        <v>3.4550000000000001</v>
      </c>
      <c r="K931">
        <v>10312</v>
      </c>
      <c r="L931">
        <v>339264</v>
      </c>
      <c r="M931">
        <v>-1960</v>
      </c>
      <c r="N931">
        <v>19001</v>
      </c>
      <c r="O931">
        <v>2322</v>
      </c>
      <c r="P931">
        <v>15990</v>
      </c>
      <c r="Q931">
        <v>689</v>
      </c>
      <c r="S931">
        <v>0</v>
      </c>
      <c r="T931">
        <v>2560</v>
      </c>
      <c r="U931">
        <v>250</v>
      </c>
      <c r="V931">
        <v>2.7278666666000002</v>
      </c>
      <c r="W931">
        <v>2.6379999999999999</v>
      </c>
      <c r="X931">
        <v>9.4481333332999995</v>
      </c>
      <c r="Z931">
        <v>10310.89</v>
      </c>
      <c r="AB931">
        <v>10315.32</v>
      </c>
      <c r="AD931">
        <v>10310.620000000001</v>
      </c>
      <c r="AF931" t="s">
        <v>182</v>
      </c>
      <c r="AG931" t="s">
        <v>185</v>
      </c>
      <c r="AI931" t="s">
        <v>186</v>
      </c>
      <c r="AJ931" t="s">
        <v>2955</v>
      </c>
      <c r="AK931" t="s">
        <v>188</v>
      </c>
    </row>
    <row r="932" spans="1:37" x14ac:dyDescent="0.3">
      <c r="A932">
        <v>8008</v>
      </c>
      <c r="B932" s="207">
        <v>46121</v>
      </c>
      <c r="C932" t="s">
        <v>438</v>
      </c>
      <c r="D932" t="s">
        <v>2956</v>
      </c>
      <c r="E932" t="s">
        <v>2957</v>
      </c>
      <c r="F932" s="207">
        <v>47149</v>
      </c>
      <c r="G932">
        <v>2.5</v>
      </c>
      <c r="H932">
        <v>83176</v>
      </c>
      <c r="I932">
        <v>81396458</v>
      </c>
      <c r="J932">
        <v>3.4849999999999999</v>
      </c>
      <c r="K932">
        <v>10274</v>
      </c>
      <c r="L932">
        <v>85455020</v>
      </c>
      <c r="M932">
        <v>-561088</v>
      </c>
      <c r="N932">
        <v>4619650</v>
      </c>
      <c r="O932">
        <v>586041</v>
      </c>
      <c r="P932">
        <v>3852519</v>
      </c>
      <c r="Q932">
        <v>181090</v>
      </c>
      <c r="S932">
        <v>0</v>
      </c>
      <c r="T932">
        <v>621380</v>
      </c>
      <c r="U932">
        <v>62120</v>
      </c>
      <c r="V932">
        <v>2.8128000000000002</v>
      </c>
      <c r="W932">
        <v>2.7187999999999999</v>
      </c>
      <c r="X932">
        <v>9.9726666666000003</v>
      </c>
      <c r="Z932">
        <v>10273.299999999999</v>
      </c>
      <c r="AB932">
        <v>10277.01</v>
      </c>
      <c r="AD932">
        <v>10272.74</v>
      </c>
      <c r="AF932" t="s">
        <v>182</v>
      </c>
      <c r="AG932" t="s">
        <v>185</v>
      </c>
      <c r="AI932" t="s">
        <v>186</v>
      </c>
      <c r="AJ932" t="s">
        <v>2958</v>
      </c>
      <c r="AK932" t="s">
        <v>188</v>
      </c>
    </row>
    <row r="933" spans="1:37" x14ac:dyDescent="0.3">
      <c r="A933">
        <v>8008</v>
      </c>
      <c r="B933" s="207">
        <v>46121</v>
      </c>
      <c r="C933" t="s">
        <v>438</v>
      </c>
      <c r="D933" t="s">
        <v>2959</v>
      </c>
      <c r="E933" t="s">
        <v>2960</v>
      </c>
      <c r="F933" s="207">
        <v>47269</v>
      </c>
      <c r="G933">
        <v>2.5</v>
      </c>
      <c r="H933">
        <v>60</v>
      </c>
      <c r="I933">
        <v>58512</v>
      </c>
      <c r="J933">
        <v>3.5539999999999998</v>
      </c>
      <c r="K933">
        <v>10138</v>
      </c>
      <c r="L933">
        <v>60828</v>
      </c>
      <c r="M933">
        <v>-504</v>
      </c>
      <c r="N933">
        <v>2820</v>
      </c>
      <c r="O933">
        <v>420</v>
      </c>
      <c r="P933">
        <v>431</v>
      </c>
      <c r="Q933">
        <v>1969</v>
      </c>
      <c r="S933">
        <v>0</v>
      </c>
      <c r="T933">
        <v>110</v>
      </c>
      <c r="U933">
        <v>0</v>
      </c>
      <c r="V933">
        <v>3.1415666666000002</v>
      </c>
      <c r="W933">
        <v>3.0341999999999998</v>
      </c>
      <c r="X933">
        <v>12.098100000000001</v>
      </c>
      <c r="Z933">
        <v>10137.969999999999</v>
      </c>
      <c r="AB933">
        <v>10139.58</v>
      </c>
      <c r="AD933">
        <v>10136.73</v>
      </c>
      <c r="AF933" t="s">
        <v>182</v>
      </c>
      <c r="AG933" t="s">
        <v>185</v>
      </c>
      <c r="AI933" t="s">
        <v>186</v>
      </c>
      <c r="AJ933" t="s">
        <v>2961</v>
      </c>
      <c r="AK933" t="s">
        <v>188</v>
      </c>
    </row>
    <row r="934" spans="1:37" x14ac:dyDescent="0.3">
      <c r="A934">
        <v>8008</v>
      </c>
      <c r="B934" s="207">
        <v>46121</v>
      </c>
      <c r="C934" t="s">
        <v>438</v>
      </c>
      <c r="D934" t="s">
        <v>2962</v>
      </c>
      <c r="E934" t="s">
        <v>2963</v>
      </c>
      <c r="F934" s="207">
        <v>47299</v>
      </c>
      <c r="G934">
        <v>2.5</v>
      </c>
      <c r="H934">
        <v>838</v>
      </c>
      <c r="I934">
        <v>816456</v>
      </c>
      <c r="J934">
        <v>3.5569999999999999</v>
      </c>
      <c r="K934">
        <v>10107</v>
      </c>
      <c r="L934">
        <v>846966</v>
      </c>
      <c r="M934">
        <v>-7102</v>
      </c>
      <c r="N934">
        <v>37612</v>
      </c>
      <c r="O934">
        <v>5845</v>
      </c>
      <c r="P934">
        <v>29099</v>
      </c>
      <c r="Q934">
        <v>2668</v>
      </c>
      <c r="S934">
        <v>0</v>
      </c>
      <c r="T934">
        <v>4890</v>
      </c>
      <c r="U934">
        <v>480</v>
      </c>
      <c r="V934">
        <v>3.2237666666</v>
      </c>
      <c r="W934">
        <v>3.1140666665999999</v>
      </c>
      <c r="X934">
        <v>12.649900000000001</v>
      </c>
      <c r="Z934">
        <v>10107.32</v>
      </c>
      <c r="AB934">
        <v>10109.91</v>
      </c>
      <c r="AD934">
        <v>10106.370000000001</v>
      </c>
      <c r="AF934" t="s">
        <v>182</v>
      </c>
      <c r="AG934" t="s">
        <v>185</v>
      </c>
      <c r="AI934" t="s">
        <v>186</v>
      </c>
      <c r="AJ934" t="s">
        <v>2964</v>
      </c>
      <c r="AK934" t="s">
        <v>188</v>
      </c>
    </row>
    <row r="935" spans="1:37" x14ac:dyDescent="0.3">
      <c r="A935">
        <v>8008</v>
      </c>
      <c r="B935" s="207">
        <v>46121</v>
      </c>
      <c r="C935" t="s">
        <v>438</v>
      </c>
      <c r="D935" t="s">
        <v>2965</v>
      </c>
      <c r="E935" t="s">
        <v>2966</v>
      </c>
      <c r="F935" s="207">
        <v>47330</v>
      </c>
      <c r="G935">
        <v>2.5</v>
      </c>
      <c r="H935">
        <v>100653</v>
      </c>
      <c r="I935">
        <v>97982222</v>
      </c>
      <c r="J935">
        <v>3.5590000000000002</v>
      </c>
      <c r="K935">
        <v>10077</v>
      </c>
      <c r="L935">
        <v>101428028</v>
      </c>
      <c r="M935">
        <v>-851531</v>
      </c>
      <c r="N935">
        <v>4297337</v>
      </c>
      <c r="O935">
        <v>700552</v>
      </c>
      <c r="P935">
        <v>1421392</v>
      </c>
      <c r="Q935">
        <v>2175393</v>
      </c>
      <c r="S935">
        <v>0</v>
      </c>
      <c r="T935">
        <v>297060</v>
      </c>
      <c r="U935">
        <v>29700</v>
      </c>
      <c r="V935">
        <v>3.3086666666000002</v>
      </c>
      <c r="W935">
        <v>3.1964999999999999</v>
      </c>
      <c r="X935">
        <v>13.2372</v>
      </c>
      <c r="Z935">
        <v>10076.129999999999</v>
      </c>
      <c r="AB935">
        <v>10079.75</v>
      </c>
      <c r="AD935">
        <v>10075.48</v>
      </c>
      <c r="AF935" t="s">
        <v>182</v>
      </c>
      <c r="AG935" t="s">
        <v>185</v>
      </c>
      <c r="AI935" t="s">
        <v>186</v>
      </c>
      <c r="AJ935" t="s">
        <v>2967</v>
      </c>
      <c r="AK935" t="s">
        <v>188</v>
      </c>
    </row>
    <row r="936" spans="1:37" x14ac:dyDescent="0.3">
      <c r="A936">
        <v>8008</v>
      </c>
      <c r="B936" s="207">
        <v>46121</v>
      </c>
      <c r="C936" t="s">
        <v>438</v>
      </c>
      <c r="D936" t="s">
        <v>2968</v>
      </c>
      <c r="E936" t="s">
        <v>2969</v>
      </c>
      <c r="F936" s="207">
        <v>47391</v>
      </c>
      <c r="G936">
        <v>2.5</v>
      </c>
      <c r="H936">
        <v>434</v>
      </c>
      <c r="I936">
        <v>421728</v>
      </c>
      <c r="J936">
        <v>3.5619999999999998</v>
      </c>
      <c r="K936">
        <v>10016</v>
      </c>
      <c r="L936">
        <v>434692</v>
      </c>
      <c r="M936">
        <v>-3699</v>
      </c>
      <c r="N936">
        <v>16663</v>
      </c>
      <c r="O936">
        <v>3006</v>
      </c>
      <c r="P936">
        <v>11994</v>
      </c>
      <c r="Q936">
        <v>1663</v>
      </c>
      <c r="S936">
        <v>0</v>
      </c>
      <c r="T936">
        <v>2080</v>
      </c>
      <c r="U936">
        <v>180</v>
      </c>
      <c r="V936">
        <v>3.4758</v>
      </c>
      <c r="W936">
        <v>3.3581333333000001</v>
      </c>
      <c r="X936">
        <v>14.4421666666</v>
      </c>
      <c r="Z936">
        <v>10015.120000000001</v>
      </c>
      <c r="AB936">
        <v>10020.58</v>
      </c>
      <c r="AD936">
        <v>10015.120000000001</v>
      </c>
      <c r="AF936" t="s">
        <v>182</v>
      </c>
      <c r="AG936" t="s">
        <v>185</v>
      </c>
      <c r="AI936" t="s">
        <v>186</v>
      </c>
      <c r="AJ936" t="s">
        <v>2970</v>
      </c>
      <c r="AK936" t="s">
        <v>188</v>
      </c>
    </row>
    <row r="937" spans="1:37" x14ac:dyDescent="0.3">
      <c r="A937">
        <v>8008</v>
      </c>
      <c r="B937" s="207">
        <v>46121</v>
      </c>
      <c r="C937" t="s">
        <v>438</v>
      </c>
      <c r="D937" t="s">
        <v>2971</v>
      </c>
      <c r="E937" t="s">
        <v>2972</v>
      </c>
      <c r="F937" s="207">
        <v>47422</v>
      </c>
      <c r="G937">
        <v>2.5</v>
      </c>
      <c r="H937">
        <v>32193</v>
      </c>
      <c r="I937">
        <v>31230020</v>
      </c>
      <c r="J937">
        <v>3.5649999999999999</v>
      </c>
      <c r="K937">
        <v>9986</v>
      </c>
      <c r="L937">
        <v>32147929</v>
      </c>
      <c r="M937">
        <v>-248285</v>
      </c>
      <c r="N937">
        <v>1166194</v>
      </c>
      <c r="O937">
        <v>215550</v>
      </c>
      <c r="P937">
        <v>820671</v>
      </c>
      <c r="Q937">
        <v>129973</v>
      </c>
      <c r="S937">
        <v>0</v>
      </c>
      <c r="T937">
        <v>145050</v>
      </c>
      <c r="U937">
        <v>14490</v>
      </c>
      <c r="V937">
        <v>3.5607000000000002</v>
      </c>
      <c r="W937">
        <v>3.4400333333000002</v>
      </c>
      <c r="X937">
        <v>15.0791333333</v>
      </c>
      <c r="Z937">
        <v>9983.99</v>
      </c>
      <c r="AB937">
        <v>9990.6</v>
      </c>
      <c r="AD937">
        <v>9984.33</v>
      </c>
      <c r="AF937" t="s">
        <v>182</v>
      </c>
      <c r="AG937" t="s">
        <v>185</v>
      </c>
      <c r="AI937" t="s">
        <v>186</v>
      </c>
      <c r="AJ937" t="s">
        <v>2973</v>
      </c>
      <c r="AK937" t="s">
        <v>188</v>
      </c>
    </row>
    <row r="938" spans="1:37" x14ac:dyDescent="0.3">
      <c r="A938">
        <v>8008</v>
      </c>
      <c r="B938" s="207">
        <v>46121</v>
      </c>
      <c r="C938" t="s">
        <v>438</v>
      </c>
      <c r="D938" t="s">
        <v>2974</v>
      </c>
      <c r="E938" t="s">
        <v>2975</v>
      </c>
      <c r="F938" s="207">
        <v>47483</v>
      </c>
      <c r="G938">
        <v>2.5</v>
      </c>
      <c r="H938">
        <v>4901</v>
      </c>
      <c r="I938">
        <v>4749709</v>
      </c>
      <c r="J938">
        <v>3.57</v>
      </c>
      <c r="K938">
        <v>9926</v>
      </c>
      <c r="L938">
        <v>4864732</v>
      </c>
      <c r="M938">
        <v>-41601</v>
      </c>
      <c r="N938">
        <v>156624</v>
      </c>
      <c r="O938">
        <v>33760</v>
      </c>
      <c r="P938">
        <v>111858</v>
      </c>
      <c r="Q938">
        <v>11006</v>
      </c>
      <c r="S938">
        <v>0</v>
      </c>
      <c r="T938">
        <v>20380</v>
      </c>
      <c r="U938">
        <v>2030</v>
      </c>
      <c r="V938">
        <v>3.7278666666000002</v>
      </c>
      <c r="W938">
        <v>3.6006666666</v>
      </c>
      <c r="X938">
        <v>16.380533333300001</v>
      </c>
      <c r="Z938">
        <v>9921.9599999999991</v>
      </c>
      <c r="AB938">
        <v>9932.41</v>
      </c>
      <c r="AD938">
        <v>9924.82</v>
      </c>
      <c r="AF938" t="s">
        <v>182</v>
      </c>
      <c r="AG938" t="s">
        <v>185</v>
      </c>
      <c r="AI938" t="s">
        <v>186</v>
      </c>
      <c r="AJ938" t="s">
        <v>2976</v>
      </c>
      <c r="AK938" t="s">
        <v>188</v>
      </c>
    </row>
    <row r="939" spans="1:37" x14ac:dyDescent="0.3">
      <c r="A939">
        <v>8008</v>
      </c>
      <c r="B939" s="207">
        <v>46121</v>
      </c>
      <c r="C939" t="s">
        <v>438</v>
      </c>
      <c r="D939" t="s">
        <v>2977</v>
      </c>
      <c r="E939" t="s">
        <v>2978</v>
      </c>
      <c r="F939" s="207">
        <v>47514</v>
      </c>
      <c r="G939">
        <v>2.5</v>
      </c>
      <c r="H939">
        <v>10336</v>
      </c>
      <c r="I939">
        <v>10005021</v>
      </c>
      <c r="J939">
        <v>3.5739999999999998</v>
      </c>
      <c r="K939">
        <v>9895</v>
      </c>
      <c r="L939">
        <v>10227471</v>
      </c>
      <c r="M939">
        <v>-85517</v>
      </c>
      <c r="N939">
        <v>307967</v>
      </c>
      <c r="O939">
        <v>71048</v>
      </c>
      <c r="P939">
        <v>199665</v>
      </c>
      <c r="Q939">
        <v>37254</v>
      </c>
      <c r="S939">
        <v>0</v>
      </c>
      <c r="T939">
        <v>37880</v>
      </c>
      <c r="U939">
        <v>3770</v>
      </c>
      <c r="V939">
        <v>3.8128000000000002</v>
      </c>
      <c r="W939">
        <v>3.6819999999999999</v>
      </c>
      <c r="X939">
        <v>17.0657</v>
      </c>
      <c r="Z939">
        <v>9889.7000000000007</v>
      </c>
      <c r="AB939">
        <v>9902.9</v>
      </c>
      <c r="AD939">
        <v>9894.7999999999993</v>
      </c>
      <c r="AF939" t="s">
        <v>182</v>
      </c>
      <c r="AG939" t="s">
        <v>185</v>
      </c>
      <c r="AI939" t="s">
        <v>186</v>
      </c>
      <c r="AJ939" t="s">
        <v>2979</v>
      </c>
      <c r="AK939" t="s">
        <v>188</v>
      </c>
    </row>
    <row r="940" spans="1:37" x14ac:dyDescent="0.3">
      <c r="A940">
        <v>8008</v>
      </c>
      <c r="B940" s="207">
        <v>46121</v>
      </c>
      <c r="C940" t="s">
        <v>438</v>
      </c>
      <c r="D940" t="s">
        <v>2980</v>
      </c>
      <c r="E940" t="s">
        <v>2981</v>
      </c>
      <c r="F940" s="207">
        <v>47573</v>
      </c>
      <c r="G940">
        <v>2.5</v>
      </c>
      <c r="H940">
        <v>29463</v>
      </c>
      <c r="I940">
        <v>28448087</v>
      </c>
      <c r="J940">
        <v>3.5790000000000002</v>
      </c>
      <c r="K940">
        <v>9838</v>
      </c>
      <c r="L940">
        <v>28985698</v>
      </c>
      <c r="M940">
        <v>-219399</v>
      </c>
      <c r="N940">
        <v>757010</v>
      </c>
      <c r="O940">
        <v>201721</v>
      </c>
      <c r="P940">
        <v>487030</v>
      </c>
      <c r="Q940">
        <v>68259</v>
      </c>
      <c r="S940">
        <v>0</v>
      </c>
      <c r="T940">
        <v>96410</v>
      </c>
      <c r="U940">
        <v>9630</v>
      </c>
      <c r="V940">
        <v>3.9744000000000002</v>
      </c>
      <c r="W940">
        <v>3.8365</v>
      </c>
      <c r="X940">
        <v>18.414633333299999</v>
      </c>
      <c r="Z940">
        <v>9830.84</v>
      </c>
      <c r="AB940">
        <v>9847.52</v>
      </c>
      <c r="AD940">
        <v>9837.6299999999992</v>
      </c>
      <c r="AF940" t="s">
        <v>182</v>
      </c>
      <c r="AG940" t="s">
        <v>185</v>
      </c>
      <c r="AI940" t="s">
        <v>186</v>
      </c>
      <c r="AJ940" t="s">
        <v>2982</v>
      </c>
      <c r="AK940" t="s">
        <v>188</v>
      </c>
    </row>
    <row r="941" spans="1:37" x14ac:dyDescent="0.3">
      <c r="A941">
        <v>8008</v>
      </c>
      <c r="B941" s="207">
        <v>46121</v>
      </c>
      <c r="C941" t="s">
        <v>438</v>
      </c>
      <c r="D941" t="s">
        <v>2983</v>
      </c>
      <c r="E941" t="s">
        <v>2984</v>
      </c>
      <c r="F941" s="207">
        <v>47603</v>
      </c>
      <c r="G941">
        <v>2.5</v>
      </c>
      <c r="H941">
        <v>17745</v>
      </c>
      <c r="I941">
        <v>17113610</v>
      </c>
      <c r="J941">
        <v>3.5870000000000002</v>
      </c>
      <c r="K941">
        <v>9807</v>
      </c>
      <c r="L941">
        <v>17402521</v>
      </c>
      <c r="M941">
        <v>-130119</v>
      </c>
      <c r="N941">
        <v>419030</v>
      </c>
      <c r="O941">
        <v>121246</v>
      </c>
      <c r="P941">
        <v>254782</v>
      </c>
      <c r="Q941">
        <v>43002</v>
      </c>
      <c r="S941">
        <v>0</v>
      </c>
      <c r="T941">
        <v>52640</v>
      </c>
      <c r="U941">
        <v>5260</v>
      </c>
      <c r="V941">
        <v>4.0566000000000004</v>
      </c>
      <c r="W941">
        <v>3.9158333333000002</v>
      </c>
      <c r="X941">
        <v>19.0975</v>
      </c>
      <c r="Z941">
        <v>9798.31</v>
      </c>
      <c r="AB941">
        <v>9816.0499999999993</v>
      </c>
      <c r="AD941">
        <v>9806.75</v>
      </c>
      <c r="AF941" t="s">
        <v>182</v>
      </c>
      <c r="AG941" t="s">
        <v>185</v>
      </c>
      <c r="AI941" t="s">
        <v>186</v>
      </c>
      <c r="AJ941" t="s">
        <v>2985</v>
      </c>
      <c r="AK941" t="s">
        <v>188</v>
      </c>
    </row>
    <row r="942" spans="1:37" x14ac:dyDescent="0.3">
      <c r="A942">
        <v>8008</v>
      </c>
      <c r="B942" s="207">
        <v>46121</v>
      </c>
      <c r="C942" t="s">
        <v>438</v>
      </c>
      <c r="D942" t="s">
        <v>2986</v>
      </c>
      <c r="E942" t="s">
        <v>2987</v>
      </c>
      <c r="F942" s="207">
        <v>47634</v>
      </c>
      <c r="G942">
        <v>2.5</v>
      </c>
      <c r="H942">
        <v>188939</v>
      </c>
      <c r="I942">
        <v>181976361</v>
      </c>
      <c r="J942">
        <v>3.597</v>
      </c>
      <c r="K942">
        <v>9773</v>
      </c>
      <c r="L942">
        <v>184650084</v>
      </c>
      <c r="M942">
        <v>-1382728</v>
      </c>
      <c r="N942">
        <v>4056451</v>
      </c>
      <c r="O942">
        <v>1288257</v>
      </c>
      <c r="P942">
        <v>2384532</v>
      </c>
      <c r="Q942">
        <v>383662</v>
      </c>
      <c r="S942">
        <v>0</v>
      </c>
      <c r="T942">
        <v>514190</v>
      </c>
      <c r="U942">
        <v>51410</v>
      </c>
      <c r="V942">
        <v>4.1415666666000002</v>
      </c>
      <c r="W942">
        <v>3.9982333333</v>
      </c>
      <c r="X942">
        <v>19.807133333300001</v>
      </c>
      <c r="Z942">
        <v>9764.9</v>
      </c>
      <c r="AB942">
        <v>9781.7800000000007</v>
      </c>
      <c r="AD942">
        <v>9773.89</v>
      </c>
      <c r="AF942" t="s">
        <v>182</v>
      </c>
      <c r="AG942" t="s">
        <v>185</v>
      </c>
      <c r="AI942" t="s">
        <v>186</v>
      </c>
      <c r="AJ942" t="s">
        <v>2988</v>
      </c>
      <c r="AK942" t="s">
        <v>188</v>
      </c>
    </row>
    <row r="943" spans="1:37" x14ac:dyDescent="0.3">
      <c r="A943">
        <v>8008</v>
      </c>
      <c r="B943" s="207">
        <v>46121</v>
      </c>
      <c r="C943" t="s">
        <v>438</v>
      </c>
      <c r="D943" t="s">
        <v>2989</v>
      </c>
      <c r="E943" t="s">
        <v>2990</v>
      </c>
      <c r="F943" s="207">
        <v>47695</v>
      </c>
      <c r="G943">
        <v>2.5</v>
      </c>
      <c r="H943">
        <v>4480</v>
      </c>
      <c r="I943">
        <v>4304508</v>
      </c>
      <c r="J943">
        <v>3.6160000000000001</v>
      </c>
      <c r="K943">
        <v>9707</v>
      </c>
      <c r="L943">
        <v>4348736</v>
      </c>
      <c r="M943">
        <v>-33109</v>
      </c>
      <c r="N943">
        <v>77337</v>
      </c>
      <c r="O943">
        <v>30421</v>
      </c>
      <c r="P943">
        <v>36651</v>
      </c>
      <c r="Q943">
        <v>10265</v>
      </c>
      <c r="S943">
        <v>0</v>
      </c>
      <c r="T943">
        <v>9380</v>
      </c>
      <c r="U943">
        <v>930</v>
      </c>
      <c r="V943">
        <v>4.3086666665999998</v>
      </c>
      <c r="W943">
        <v>4.1598666666000002</v>
      </c>
      <c r="X943">
        <v>21.252233333300001</v>
      </c>
      <c r="Z943">
        <v>9699.2199999999993</v>
      </c>
      <c r="AB943">
        <v>9715.0499999999993</v>
      </c>
      <c r="AD943">
        <v>9708.91</v>
      </c>
      <c r="AF943" t="s">
        <v>182</v>
      </c>
      <c r="AG943" t="s">
        <v>185</v>
      </c>
      <c r="AI943" t="s">
        <v>186</v>
      </c>
      <c r="AJ943" t="s">
        <v>2991</v>
      </c>
      <c r="AK943" t="s">
        <v>188</v>
      </c>
    </row>
    <row r="944" spans="1:37" x14ac:dyDescent="0.3">
      <c r="A944">
        <v>8008</v>
      </c>
      <c r="B944" s="207">
        <v>46121</v>
      </c>
      <c r="C944" t="s">
        <v>438</v>
      </c>
      <c r="D944" t="s">
        <v>2992</v>
      </c>
      <c r="E944" t="s">
        <v>2993</v>
      </c>
      <c r="F944" s="207">
        <v>47879</v>
      </c>
      <c r="G944">
        <v>2</v>
      </c>
      <c r="H944">
        <v>3215</v>
      </c>
      <c r="I944">
        <v>2976929</v>
      </c>
      <c r="J944">
        <v>3.6709999999999998</v>
      </c>
      <c r="K944">
        <v>9281</v>
      </c>
      <c r="L944">
        <v>2983841</v>
      </c>
      <c r="M944">
        <v>-5145</v>
      </c>
      <c r="N944">
        <v>12057</v>
      </c>
      <c r="O944">
        <v>7398</v>
      </c>
      <c r="P944">
        <v>0</v>
      </c>
      <c r="Q944">
        <v>4659</v>
      </c>
      <c r="S944">
        <v>0</v>
      </c>
      <c r="T944">
        <v>1030</v>
      </c>
      <c r="U944">
        <v>100</v>
      </c>
      <c r="V944">
        <v>4.8128000000000002</v>
      </c>
      <c r="W944">
        <v>4.6432000000000002</v>
      </c>
      <c r="X944">
        <v>25.9916666666</v>
      </c>
      <c r="Z944">
        <v>9274.6299999999992</v>
      </c>
      <c r="AB944">
        <v>9283.5</v>
      </c>
      <c r="AD944">
        <v>9284.98</v>
      </c>
      <c r="AF944" t="s">
        <v>182</v>
      </c>
      <c r="AG944" t="s">
        <v>185</v>
      </c>
      <c r="AI944" t="s">
        <v>186</v>
      </c>
      <c r="AJ944" t="s">
        <v>2994</v>
      </c>
      <c r="AK944" t="s">
        <v>188</v>
      </c>
    </row>
    <row r="945" spans="1:37" x14ac:dyDescent="0.3">
      <c r="A945">
        <v>8008</v>
      </c>
      <c r="B945" s="207">
        <v>46121</v>
      </c>
      <c r="C945" t="s">
        <v>438</v>
      </c>
      <c r="D945" t="s">
        <v>2995</v>
      </c>
      <c r="E945" t="s">
        <v>2996</v>
      </c>
      <c r="F945" s="207">
        <v>47907</v>
      </c>
      <c r="G945">
        <v>2</v>
      </c>
      <c r="H945">
        <v>2646</v>
      </c>
      <c r="I945">
        <v>2397570</v>
      </c>
      <c r="J945">
        <v>3.681</v>
      </c>
      <c r="K945">
        <v>9251</v>
      </c>
      <c r="L945">
        <v>2447814</v>
      </c>
      <c r="M945">
        <v>44352</v>
      </c>
      <c r="N945">
        <v>5892</v>
      </c>
      <c r="O945">
        <v>1482</v>
      </c>
      <c r="P945">
        <v>0</v>
      </c>
      <c r="Q945">
        <v>4410</v>
      </c>
      <c r="S945">
        <v>0</v>
      </c>
      <c r="T945">
        <v>200</v>
      </c>
      <c r="U945">
        <v>20</v>
      </c>
      <c r="V945">
        <v>4.8895</v>
      </c>
      <c r="W945">
        <v>4.7161333333000002</v>
      </c>
      <c r="X945">
        <v>26.7605333333</v>
      </c>
      <c r="Z945">
        <v>9244</v>
      </c>
      <c r="AB945">
        <v>9253.84</v>
      </c>
      <c r="AD945">
        <v>9256.2199999999993</v>
      </c>
      <c r="AF945" t="s">
        <v>182</v>
      </c>
      <c r="AG945" t="s">
        <v>185</v>
      </c>
      <c r="AI945" t="s">
        <v>186</v>
      </c>
      <c r="AJ945" t="s">
        <v>2997</v>
      </c>
      <c r="AK945" t="s">
        <v>188</v>
      </c>
    </row>
    <row r="946" spans="1:37" x14ac:dyDescent="0.3">
      <c r="A946">
        <v>8008</v>
      </c>
      <c r="B946" s="207">
        <v>46121</v>
      </c>
      <c r="C946" t="s">
        <v>438</v>
      </c>
      <c r="D946" t="s">
        <v>2998</v>
      </c>
      <c r="E946" t="s">
        <v>2999</v>
      </c>
      <c r="F946" s="207">
        <v>47968</v>
      </c>
      <c r="G946">
        <v>2</v>
      </c>
      <c r="H946">
        <v>82124</v>
      </c>
      <c r="I946">
        <v>74372505</v>
      </c>
      <c r="J946">
        <v>3.7010000000000001</v>
      </c>
      <c r="K946">
        <v>9187</v>
      </c>
      <c r="L946">
        <v>75447318</v>
      </c>
      <c r="M946">
        <v>1074813</v>
      </c>
      <c r="N946">
        <v>0</v>
      </c>
      <c r="O946">
        <v>0</v>
      </c>
      <c r="P946">
        <v>0</v>
      </c>
      <c r="Q946">
        <v>0</v>
      </c>
      <c r="S946">
        <v>0</v>
      </c>
      <c r="T946">
        <v>0</v>
      </c>
      <c r="U946">
        <v>0</v>
      </c>
      <c r="V946">
        <v>5.0566000000000004</v>
      </c>
      <c r="W946">
        <v>4.8758666666000003</v>
      </c>
      <c r="X946">
        <v>28.459566666600001</v>
      </c>
      <c r="Z946">
        <v>9177.61</v>
      </c>
      <c r="AB946">
        <v>9189.0300000000007</v>
      </c>
      <c r="AD946">
        <v>9195.08</v>
      </c>
      <c r="AF946" t="s">
        <v>182</v>
      </c>
      <c r="AG946" t="s">
        <v>185</v>
      </c>
      <c r="AI946" t="s">
        <v>186</v>
      </c>
      <c r="AJ946" t="s">
        <v>3000</v>
      </c>
      <c r="AK946" t="s">
        <v>188</v>
      </c>
    </row>
    <row r="947" spans="1:37" x14ac:dyDescent="0.3">
      <c r="A947">
        <v>8009</v>
      </c>
      <c r="B947" s="207">
        <v>46121</v>
      </c>
      <c r="C947" t="s">
        <v>182</v>
      </c>
      <c r="D947" t="s">
        <v>3001</v>
      </c>
      <c r="E947" t="s">
        <v>3002</v>
      </c>
      <c r="F947" s="207">
        <v>55222</v>
      </c>
      <c r="G947">
        <v>1.875</v>
      </c>
      <c r="H947">
        <v>130000000</v>
      </c>
      <c r="I947">
        <v>98559122930</v>
      </c>
      <c r="J947">
        <v>3.5990000000000002</v>
      </c>
      <c r="K947">
        <v>7194</v>
      </c>
      <c r="L947">
        <v>93522000000</v>
      </c>
      <c r="M947">
        <v>-5242455805</v>
      </c>
      <c r="N947">
        <v>205332875</v>
      </c>
      <c r="O947">
        <v>205332875</v>
      </c>
      <c r="P947">
        <v>0</v>
      </c>
      <c r="Q947">
        <v>0</v>
      </c>
      <c r="S947">
        <v>0</v>
      </c>
      <c r="T947">
        <v>28746570</v>
      </c>
      <c r="U947">
        <v>2874620</v>
      </c>
      <c r="V947">
        <v>18.882033333300001</v>
      </c>
      <c r="W947">
        <v>18.5482666666</v>
      </c>
      <c r="X947">
        <v>420.70330000000001</v>
      </c>
      <c r="Z947">
        <v>7193.56</v>
      </c>
      <c r="AB947">
        <v>7197.56</v>
      </c>
      <c r="AD947">
        <v>7193.56</v>
      </c>
      <c r="AF947" t="s">
        <v>182</v>
      </c>
      <c r="AG947" t="s">
        <v>185</v>
      </c>
      <c r="AI947" t="s">
        <v>186</v>
      </c>
      <c r="AJ947" t="s">
        <v>3003</v>
      </c>
      <c r="AK947" t="s">
        <v>188</v>
      </c>
    </row>
    <row r="948" spans="1:37" x14ac:dyDescent="0.3">
      <c r="A948">
        <v>8010</v>
      </c>
      <c r="B948" s="207">
        <v>46121</v>
      </c>
      <c r="C948" t="s">
        <v>3004</v>
      </c>
      <c r="D948" t="s">
        <v>3005</v>
      </c>
      <c r="E948" t="s">
        <v>3006</v>
      </c>
      <c r="F948" s="207">
        <v>46270</v>
      </c>
      <c r="G948">
        <v>3.3</v>
      </c>
      <c r="H948">
        <v>10000000</v>
      </c>
      <c r="I948">
        <v>10030250000</v>
      </c>
      <c r="J948">
        <v>2.84</v>
      </c>
      <c r="K948">
        <v>10050</v>
      </c>
      <c r="L948">
        <v>10050000000</v>
      </c>
      <c r="M948">
        <v>-12532608</v>
      </c>
      <c r="N948">
        <v>32282608</v>
      </c>
      <c r="O948">
        <v>32282608</v>
      </c>
      <c r="P948">
        <v>0</v>
      </c>
      <c r="Q948">
        <v>0</v>
      </c>
      <c r="S948">
        <v>0</v>
      </c>
      <c r="T948">
        <v>4519560</v>
      </c>
      <c r="U948">
        <v>451950</v>
      </c>
      <c r="V948">
        <v>0.4011666666</v>
      </c>
      <c r="W948">
        <v>0.39833333329999998</v>
      </c>
      <c r="X948">
        <v>0.25319999999999998</v>
      </c>
      <c r="Y948" t="s">
        <v>3007</v>
      </c>
      <c r="Z948">
        <v>10050.76</v>
      </c>
      <c r="AA948" t="s">
        <v>3007</v>
      </c>
      <c r="AB948">
        <v>10050.52</v>
      </c>
      <c r="AC948" t="s">
        <v>3007</v>
      </c>
      <c r="AD948">
        <v>10050.120000000001</v>
      </c>
      <c r="AE948" t="s">
        <v>3007</v>
      </c>
      <c r="AF948" t="s">
        <v>3004</v>
      </c>
      <c r="AG948" t="s">
        <v>185</v>
      </c>
      <c r="AI948" t="s">
        <v>186</v>
      </c>
      <c r="AJ948" t="s">
        <v>3008</v>
      </c>
      <c r="AK948" t="s">
        <v>3009</v>
      </c>
    </row>
    <row r="949" spans="1:37" x14ac:dyDescent="0.3">
      <c r="A949">
        <v>8010</v>
      </c>
      <c r="B949" s="207">
        <v>46121</v>
      </c>
      <c r="C949" t="s">
        <v>3004</v>
      </c>
      <c r="D949" t="s">
        <v>3010</v>
      </c>
      <c r="E949" t="s">
        <v>3011</v>
      </c>
      <c r="F949" s="207">
        <v>46330</v>
      </c>
      <c r="G949">
        <v>3.24</v>
      </c>
      <c r="H949">
        <v>20000000</v>
      </c>
      <c r="I949">
        <v>20067869566</v>
      </c>
      <c r="J949">
        <v>2.8879999999999999</v>
      </c>
      <c r="K949">
        <v>10078</v>
      </c>
      <c r="L949">
        <v>20156000000</v>
      </c>
      <c r="M949">
        <v>-30184172</v>
      </c>
      <c r="N949">
        <v>118314606</v>
      </c>
      <c r="O949">
        <v>118314606</v>
      </c>
      <c r="P949">
        <v>0</v>
      </c>
      <c r="Q949">
        <v>0</v>
      </c>
      <c r="S949">
        <v>0</v>
      </c>
      <c r="T949">
        <v>16564040</v>
      </c>
      <c r="U949">
        <v>1656400</v>
      </c>
      <c r="V949">
        <v>0.5624666666</v>
      </c>
      <c r="W949">
        <v>0.5584333333</v>
      </c>
      <c r="X949">
        <v>0.44883333330000003</v>
      </c>
      <c r="Y949" t="s">
        <v>3007</v>
      </c>
      <c r="Z949">
        <v>10079.120000000001</v>
      </c>
      <c r="AA949" t="s">
        <v>3007</v>
      </c>
      <c r="AB949">
        <v>10078.9</v>
      </c>
      <c r="AC949" t="s">
        <v>3007</v>
      </c>
      <c r="AD949">
        <v>10078.280000000001</v>
      </c>
      <c r="AE949" t="s">
        <v>3007</v>
      </c>
      <c r="AF949" t="s">
        <v>3004</v>
      </c>
      <c r="AG949" t="s">
        <v>185</v>
      </c>
      <c r="AI949" t="s">
        <v>186</v>
      </c>
      <c r="AJ949" t="s">
        <v>3012</v>
      </c>
      <c r="AK949" t="s">
        <v>3009</v>
      </c>
    </row>
    <row r="950" spans="1:37" x14ac:dyDescent="0.3">
      <c r="A950">
        <v>8010</v>
      </c>
      <c r="B950" s="207">
        <v>46121</v>
      </c>
      <c r="C950" t="s">
        <v>3004</v>
      </c>
      <c r="D950" t="s">
        <v>3013</v>
      </c>
      <c r="E950" t="s">
        <v>3014</v>
      </c>
      <c r="F950" s="207">
        <v>46135</v>
      </c>
      <c r="G950">
        <v>2.59</v>
      </c>
      <c r="H950">
        <v>10000000</v>
      </c>
      <c r="I950">
        <v>9992733696</v>
      </c>
      <c r="J950">
        <v>2.7440000000000002</v>
      </c>
      <c r="K950">
        <v>10054</v>
      </c>
      <c r="L950">
        <v>10054000000</v>
      </c>
      <c r="M950">
        <v>5869082</v>
      </c>
      <c r="N950">
        <v>55397222</v>
      </c>
      <c r="O950">
        <v>55397222</v>
      </c>
      <c r="P950">
        <v>0</v>
      </c>
      <c r="Q950">
        <v>0</v>
      </c>
      <c r="S950">
        <v>0</v>
      </c>
      <c r="T950">
        <v>7755610</v>
      </c>
      <c r="U950">
        <v>775560</v>
      </c>
      <c r="V950">
        <v>3.7100000000000001E-2</v>
      </c>
      <c r="W950">
        <v>3.68666666E-2</v>
      </c>
      <c r="X950">
        <v>7.9666666000000001E-3</v>
      </c>
      <c r="Y950" t="s">
        <v>3007</v>
      </c>
      <c r="Z950">
        <v>10054.790000000001</v>
      </c>
      <c r="AA950" t="s">
        <v>3007</v>
      </c>
      <c r="AB950">
        <v>10054.790000000001</v>
      </c>
      <c r="AC950" t="s">
        <v>3007</v>
      </c>
      <c r="AD950">
        <v>10054.75</v>
      </c>
      <c r="AE950" t="s">
        <v>3007</v>
      </c>
      <c r="AF950" t="s">
        <v>3004</v>
      </c>
      <c r="AG950" t="s">
        <v>185</v>
      </c>
      <c r="AI950" t="s">
        <v>186</v>
      </c>
      <c r="AJ950" t="s">
        <v>3015</v>
      </c>
      <c r="AK950" t="s">
        <v>3009</v>
      </c>
    </row>
    <row r="951" spans="1:37" x14ac:dyDescent="0.3">
      <c r="A951">
        <v>8010</v>
      </c>
      <c r="B951" s="207">
        <v>46121</v>
      </c>
      <c r="C951" t="s">
        <v>3004</v>
      </c>
      <c r="D951" t="s">
        <v>3016</v>
      </c>
      <c r="E951" t="s">
        <v>3017</v>
      </c>
      <c r="F951" s="207">
        <v>46256</v>
      </c>
      <c r="G951">
        <v>3.26</v>
      </c>
      <c r="H951">
        <v>10000000</v>
      </c>
      <c r="I951">
        <v>10026565218</v>
      </c>
      <c r="J951">
        <v>2.8290000000000002</v>
      </c>
      <c r="K951">
        <v>10058</v>
      </c>
      <c r="L951">
        <v>10058000000</v>
      </c>
      <c r="M951">
        <v>-11604543</v>
      </c>
      <c r="N951">
        <v>43039325</v>
      </c>
      <c r="O951">
        <v>43039325</v>
      </c>
      <c r="P951">
        <v>0</v>
      </c>
      <c r="Q951">
        <v>0</v>
      </c>
      <c r="S951">
        <v>0</v>
      </c>
      <c r="T951">
        <v>6025500</v>
      </c>
      <c r="U951">
        <v>602550</v>
      </c>
      <c r="V951">
        <v>0.36706666659999998</v>
      </c>
      <c r="W951">
        <v>0.36446666659999999</v>
      </c>
      <c r="X951">
        <v>0.2186666666</v>
      </c>
      <c r="Y951" t="s">
        <v>3007</v>
      </c>
      <c r="Z951">
        <v>10058.879999999999</v>
      </c>
      <c r="AA951" t="s">
        <v>3007</v>
      </c>
      <c r="AB951">
        <v>10058.66</v>
      </c>
      <c r="AC951" t="s">
        <v>3007</v>
      </c>
      <c r="AD951">
        <v>10058.290000000001</v>
      </c>
      <c r="AE951" t="s">
        <v>3007</v>
      </c>
      <c r="AF951" t="s">
        <v>3004</v>
      </c>
      <c r="AG951" t="s">
        <v>185</v>
      </c>
      <c r="AI951" t="s">
        <v>186</v>
      </c>
      <c r="AJ951" t="s">
        <v>3018</v>
      </c>
      <c r="AK951" t="s">
        <v>3009</v>
      </c>
    </row>
    <row r="952" spans="1:37" x14ac:dyDescent="0.3">
      <c r="A952">
        <v>8010</v>
      </c>
      <c r="B952" s="207">
        <v>46121</v>
      </c>
      <c r="C952" t="s">
        <v>3004</v>
      </c>
      <c r="D952" t="s">
        <v>3019</v>
      </c>
      <c r="E952" t="s">
        <v>3020</v>
      </c>
      <c r="F952" s="207">
        <v>46277</v>
      </c>
      <c r="G952">
        <v>3.2</v>
      </c>
      <c r="H952">
        <v>10000000</v>
      </c>
      <c r="I952">
        <v>10025222223</v>
      </c>
      <c r="J952">
        <v>2.8450000000000002</v>
      </c>
      <c r="K952">
        <v>10039</v>
      </c>
      <c r="L952">
        <v>10039000000</v>
      </c>
      <c r="M952">
        <v>-11439614</v>
      </c>
      <c r="N952">
        <v>25217391</v>
      </c>
      <c r="O952">
        <v>25217391</v>
      </c>
      <c r="P952">
        <v>0</v>
      </c>
      <c r="Q952">
        <v>0</v>
      </c>
      <c r="S952">
        <v>0</v>
      </c>
      <c r="T952">
        <v>3530430</v>
      </c>
      <c r="U952">
        <v>353040</v>
      </c>
      <c r="V952">
        <v>0.42023333330000001</v>
      </c>
      <c r="W952">
        <v>0.4172666666</v>
      </c>
      <c r="X952">
        <v>0.27376666659999999</v>
      </c>
      <c r="Y952" t="s">
        <v>3007</v>
      </c>
      <c r="Z952">
        <v>10040.200000000001</v>
      </c>
      <c r="AA952" t="s">
        <v>3007</v>
      </c>
      <c r="AB952">
        <v>10039.950000000001</v>
      </c>
      <c r="AC952" t="s">
        <v>3007</v>
      </c>
      <c r="AD952">
        <v>10039.49</v>
      </c>
      <c r="AE952" t="s">
        <v>3007</v>
      </c>
      <c r="AF952" t="s">
        <v>3004</v>
      </c>
      <c r="AG952" t="s">
        <v>185</v>
      </c>
      <c r="AI952" t="s">
        <v>186</v>
      </c>
      <c r="AJ952" t="s">
        <v>3021</v>
      </c>
      <c r="AK952" t="s">
        <v>3009</v>
      </c>
    </row>
    <row r="953" spans="1:37" x14ac:dyDescent="0.3">
      <c r="A953">
        <v>8010</v>
      </c>
      <c r="B953" s="207">
        <v>46121</v>
      </c>
      <c r="C953" t="s">
        <v>3004</v>
      </c>
      <c r="D953" t="s">
        <v>3022</v>
      </c>
      <c r="E953" t="s">
        <v>3023</v>
      </c>
      <c r="F953" s="207">
        <v>46355</v>
      </c>
      <c r="G953">
        <v>3.04</v>
      </c>
      <c r="H953">
        <v>30000000</v>
      </c>
      <c r="I953">
        <v>30058318682</v>
      </c>
      <c r="J953">
        <v>2.9079999999999999</v>
      </c>
      <c r="K953">
        <v>10042</v>
      </c>
      <c r="L953">
        <v>30126000000</v>
      </c>
      <c r="M953">
        <v>-36185348</v>
      </c>
      <c r="N953">
        <v>103866666</v>
      </c>
      <c r="O953">
        <v>103866666</v>
      </c>
      <c r="P953">
        <v>0</v>
      </c>
      <c r="Q953">
        <v>0</v>
      </c>
      <c r="S953">
        <v>0</v>
      </c>
      <c r="T953">
        <v>14541330</v>
      </c>
      <c r="U953">
        <v>1454130</v>
      </c>
      <c r="V953">
        <v>0.63153333330000005</v>
      </c>
      <c r="W953">
        <v>0.627</v>
      </c>
      <c r="X953">
        <v>0.54593333330000005</v>
      </c>
      <c r="Y953" t="s">
        <v>3007</v>
      </c>
      <c r="Z953">
        <v>10043.09</v>
      </c>
      <c r="AA953" t="s">
        <v>3007</v>
      </c>
      <c r="AB953">
        <v>10042.959999999999</v>
      </c>
      <c r="AC953" t="s">
        <v>3007</v>
      </c>
      <c r="AD953">
        <v>10042.27</v>
      </c>
      <c r="AE953" t="s">
        <v>3007</v>
      </c>
      <c r="AF953" t="s">
        <v>3004</v>
      </c>
      <c r="AG953" t="s">
        <v>185</v>
      </c>
      <c r="AI953" t="s">
        <v>186</v>
      </c>
      <c r="AJ953" t="s">
        <v>3024</v>
      </c>
      <c r="AK953" t="s">
        <v>3009</v>
      </c>
    </row>
    <row r="954" spans="1:37" x14ac:dyDescent="0.3">
      <c r="A954">
        <v>8010</v>
      </c>
      <c r="B954" s="207">
        <v>46121</v>
      </c>
      <c r="C954" t="s">
        <v>3004</v>
      </c>
      <c r="D954" t="s">
        <v>3025</v>
      </c>
      <c r="E954" t="s">
        <v>3026</v>
      </c>
      <c r="F954" s="207">
        <v>46337</v>
      </c>
      <c r="G954">
        <v>3.19</v>
      </c>
      <c r="H954">
        <v>50000000</v>
      </c>
      <c r="I954">
        <v>50153953805</v>
      </c>
      <c r="J954">
        <v>2.8940000000000001</v>
      </c>
      <c r="K954">
        <v>10069</v>
      </c>
      <c r="L954">
        <v>50345000000</v>
      </c>
      <c r="M954">
        <v>-68813355</v>
      </c>
      <c r="N954">
        <v>259859550</v>
      </c>
      <c r="O954">
        <v>259859550</v>
      </c>
      <c r="P954">
        <v>0</v>
      </c>
      <c r="Q954">
        <v>0</v>
      </c>
      <c r="S954">
        <v>0</v>
      </c>
      <c r="T954">
        <v>36380330</v>
      </c>
      <c r="U954">
        <v>3638030</v>
      </c>
      <c r="V954">
        <v>0.58226666660000004</v>
      </c>
      <c r="W954">
        <v>0.57806666659999995</v>
      </c>
      <c r="X954">
        <v>0.47536666659999999</v>
      </c>
      <c r="Y954" t="s">
        <v>3007</v>
      </c>
      <c r="Z954">
        <v>10069.36</v>
      </c>
      <c r="AA954" t="s">
        <v>3007</v>
      </c>
      <c r="AB954">
        <v>10069.129999999999</v>
      </c>
      <c r="AC954" t="s">
        <v>3007</v>
      </c>
      <c r="AD954">
        <v>10068.549999999999</v>
      </c>
      <c r="AE954" t="s">
        <v>3007</v>
      </c>
      <c r="AF954" t="s">
        <v>3004</v>
      </c>
      <c r="AG954" t="s">
        <v>185</v>
      </c>
      <c r="AI954" t="s">
        <v>186</v>
      </c>
      <c r="AJ954" t="s">
        <v>3027</v>
      </c>
      <c r="AK954" t="s">
        <v>3009</v>
      </c>
    </row>
    <row r="955" spans="1:37" x14ac:dyDescent="0.3">
      <c r="A955">
        <v>8010</v>
      </c>
      <c r="B955" s="207">
        <v>46121</v>
      </c>
      <c r="C955" t="s">
        <v>3004</v>
      </c>
      <c r="D955" t="s">
        <v>3028</v>
      </c>
      <c r="E955" t="s">
        <v>3029</v>
      </c>
      <c r="F955" s="207">
        <v>46256</v>
      </c>
      <c r="G955">
        <v>3.26</v>
      </c>
      <c r="H955">
        <v>10000000</v>
      </c>
      <c r="I955">
        <v>10026565218</v>
      </c>
      <c r="J955">
        <v>2.83</v>
      </c>
      <c r="K955">
        <v>10058</v>
      </c>
      <c r="L955">
        <v>10058000000</v>
      </c>
      <c r="M955">
        <v>-11604543</v>
      </c>
      <c r="N955">
        <v>43039325</v>
      </c>
      <c r="O955">
        <v>43039325</v>
      </c>
      <c r="P955">
        <v>0</v>
      </c>
      <c r="Q955">
        <v>0</v>
      </c>
      <c r="S955">
        <v>0</v>
      </c>
      <c r="T955">
        <v>6025500</v>
      </c>
      <c r="U955">
        <v>602550</v>
      </c>
      <c r="V955">
        <v>0.36706666659999998</v>
      </c>
      <c r="W955">
        <v>0.36446666659999999</v>
      </c>
      <c r="X955">
        <v>0.2186666666</v>
      </c>
      <c r="Y955" t="s">
        <v>3007</v>
      </c>
      <c r="Z955">
        <v>10058.73</v>
      </c>
      <c r="AA955" t="s">
        <v>3007</v>
      </c>
      <c r="AB955">
        <v>10058.66</v>
      </c>
      <c r="AC955" t="s">
        <v>3007</v>
      </c>
      <c r="AD955">
        <v>10058.290000000001</v>
      </c>
      <c r="AE955" t="s">
        <v>3007</v>
      </c>
      <c r="AF955" t="s">
        <v>3004</v>
      </c>
      <c r="AG955" t="s">
        <v>185</v>
      </c>
      <c r="AI955" t="s">
        <v>186</v>
      </c>
      <c r="AJ955" t="s">
        <v>3030</v>
      </c>
      <c r="AK955" t="s">
        <v>3009</v>
      </c>
    </row>
    <row r="956" spans="1:37" x14ac:dyDescent="0.3">
      <c r="A956">
        <v>8010</v>
      </c>
      <c r="B956" s="207">
        <v>46121</v>
      </c>
      <c r="C956" t="s">
        <v>3004</v>
      </c>
      <c r="D956" t="s">
        <v>3031</v>
      </c>
      <c r="E956" t="s">
        <v>3032</v>
      </c>
      <c r="F956" s="207">
        <v>46137</v>
      </c>
      <c r="G956">
        <v>3.2</v>
      </c>
      <c r="H956">
        <v>20000000</v>
      </c>
      <c r="I956">
        <v>20023739132</v>
      </c>
      <c r="J956">
        <v>2.7480000000000002</v>
      </c>
      <c r="K956">
        <v>10068</v>
      </c>
      <c r="L956">
        <v>20136000000</v>
      </c>
      <c r="M956">
        <v>-21072464</v>
      </c>
      <c r="N956">
        <v>133333332</v>
      </c>
      <c r="O956">
        <v>133333332</v>
      </c>
      <c r="P956">
        <v>0</v>
      </c>
      <c r="Q956">
        <v>0</v>
      </c>
      <c r="S956">
        <v>0</v>
      </c>
      <c r="T956">
        <v>18666660</v>
      </c>
      <c r="U956">
        <v>1866660</v>
      </c>
      <c r="V956">
        <v>4.26666666E-2</v>
      </c>
      <c r="W956">
        <v>4.2366666599999998E-2</v>
      </c>
      <c r="X956">
        <v>9.4666665999999997E-3</v>
      </c>
      <c r="Y956" t="s">
        <v>3007</v>
      </c>
      <c r="Z956">
        <v>10068.469999999999</v>
      </c>
      <c r="AA956" t="s">
        <v>3007</v>
      </c>
      <c r="AB956">
        <v>10068.49</v>
      </c>
      <c r="AC956" t="s">
        <v>3007</v>
      </c>
      <c r="AD956">
        <v>10068.450000000001</v>
      </c>
      <c r="AE956" t="s">
        <v>3007</v>
      </c>
      <c r="AF956" t="s">
        <v>3004</v>
      </c>
      <c r="AG956" t="s">
        <v>185</v>
      </c>
      <c r="AI956" t="s">
        <v>186</v>
      </c>
      <c r="AJ956" t="s">
        <v>3033</v>
      </c>
      <c r="AK956" t="s">
        <v>3009</v>
      </c>
    </row>
    <row r="957" spans="1:37" x14ac:dyDescent="0.3">
      <c r="A957">
        <v>8010</v>
      </c>
      <c r="B957" s="207">
        <v>46121</v>
      </c>
      <c r="C957" t="s">
        <v>3004</v>
      </c>
      <c r="D957" t="s">
        <v>3034</v>
      </c>
      <c r="E957" t="s">
        <v>3035</v>
      </c>
      <c r="F957" s="207">
        <v>46144</v>
      </c>
      <c r="G957">
        <v>3.71</v>
      </c>
      <c r="H957">
        <v>10000000</v>
      </c>
      <c r="I957">
        <v>10029478261</v>
      </c>
      <c r="J957">
        <v>2.7490000000000001</v>
      </c>
      <c r="K957">
        <v>10075</v>
      </c>
      <c r="L957">
        <v>10075000000</v>
      </c>
      <c r="M957">
        <v>-24338935</v>
      </c>
      <c r="N957">
        <v>69860674</v>
      </c>
      <c r="O957">
        <v>69860674</v>
      </c>
      <c r="P957">
        <v>0</v>
      </c>
      <c r="Q957">
        <v>0</v>
      </c>
      <c r="S957">
        <v>0</v>
      </c>
      <c r="T957">
        <v>9780490</v>
      </c>
      <c r="U957">
        <v>978040</v>
      </c>
      <c r="V957">
        <v>6.2833333300000002E-2</v>
      </c>
      <c r="W957">
        <v>6.2433333299999998E-2</v>
      </c>
      <c r="X957">
        <v>1.5566666599999999E-2</v>
      </c>
      <c r="Y957" t="s">
        <v>3007</v>
      </c>
      <c r="Z957">
        <v>10075.68</v>
      </c>
      <c r="AA957" t="s">
        <v>3007</v>
      </c>
      <c r="AB957">
        <v>10075.620000000001</v>
      </c>
      <c r="AC957" t="s">
        <v>3007</v>
      </c>
      <c r="AD957">
        <v>10075.58</v>
      </c>
      <c r="AE957" t="s">
        <v>3007</v>
      </c>
      <c r="AF957" t="s">
        <v>3004</v>
      </c>
      <c r="AG957" t="s">
        <v>185</v>
      </c>
      <c r="AI957" t="s">
        <v>186</v>
      </c>
      <c r="AJ957" t="s">
        <v>3036</v>
      </c>
      <c r="AK957" t="s">
        <v>3009</v>
      </c>
    </row>
    <row r="958" spans="1:37" x14ac:dyDescent="0.3">
      <c r="A958">
        <v>8010</v>
      </c>
      <c r="B958" s="207">
        <v>46121</v>
      </c>
      <c r="C958" t="s">
        <v>3004</v>
      </c>
      <c r="D958" t="s">
        <v>3037</v>
      </c>
      <c r="E958" t="s">
        <v>3038</v>
      </c>
      <c r="F958" s="207">
        <v>46328</v>
      </c>
      <c r="G958">
        <v>2.5499999999999998</v>
      </c>
      <c r="H958">
        <v>10000000</v>
      </c>
      <c r="I958">
        <v>9976391305</v>
      </c>
      <c r="J958">
        <v>2.8860000000000001</v>
      </c>
      <c r="K958">
        <v>10029</v>
      </c>
      <c r="L958">
        <v>10029000000</v>
      </c>
      <c r="M958">
        <v>4579482</v>
      </c>
      <c r="N958">
        <v>48029213</v>
      </c>
      <c r="O958">
        <v>48029213</v>
      </c>
      <c r="P958">
        <v>0</v>
      </c>
      <c r="Q958">
        <v>0</v>
      </c>
      <c r="S958">
        <v>0</v>
      </c>
      <c r="T958">
        <v>6724080</v>
      </c>
      <c r="U958">
        <v>672400</v>
      </c>
      <c r="V958">
        <v>0.55813333330000003</v>
      </c>
      <c r="W958">
        <v>0.55410000000000004</v>
      </c>
      <c r="X958">
        <v>0.44266666659999998</v>
      </c>
      <c r="Y958" t="s">
        <v>3007</v>
      </c>
      <c r="Z958">
        <v>10029.57</v>
      </c>
      <c r="AA958" t="s">
        <v>3007</v>
      </c>
      <c r="AB958">
        <v>10029.290000000001</v>
      </c>
      <c r="AC958" t="s">
        <v>3007</v>
      </c>
      <c r="AD958">
        <v>10028.74</v>
      </c>
      <c r="AE958" t="s">
        <v>3007</v>
      </c>
      <c r="AF958" t="s">
        <v>3004</v>
      </c>
      <c r="AG958" t="s">
        <v>185</v>
      </c>
      <c r="AI958" t="s">
        <v>186</v>
      </c>
      <c r="AJ958" t="s">
        <v>3039</v>
      </c>
      <c r="AK958" t="s">
        <v>3009</v>
      </c>
    </row>
    <row r="959" spans="1:37" x14ac:dyDescent="0.3">
      <c r="A959">
        <v>8010</v>
      </c>
      <c r="B959" s="207">
        <v>46121</v>
      </c>
      <c r="C959" t="s">
        <v>3004</v>
      </c>
      <c r="D959" t="s">
        <v>3040</v>
      </c>
      <c r="E959" t="s">
        <v>3041</v>
      </c>
      <c r="F959" s="207">
        <v>46358</v>
      </c>
      <c r="G959">
        <v>2.52</v>
      </c>
      <c r="H959">
        <v>10000000</v>
      </c>
      <c r="I959">
        <v>9972000000</v>
      </c>
      <c r="J959">
        <v>2.91</v>
      </c>
      <c r="K959">
        <v>10001</v>
      </c>
      <c r="L959">
        <v>10001000000</v>
      </c>
      <c r="M959">
        <v>2293479</v>
      </c>
      <c r="N959">
        <v>26706521</v>
      </c>
      <c r="O959">
        <v>26706521</v>
      </c>
      <c r="P959">
        <v>0</v>
      </c>
      <c r="Q959">
        <v>0</v>
      </c>
      <c r="S959">
        <v>0</v>
      </c>
      <c r="T959">
        <v>3738910</v>
      </c>
      <c r="U959">
        <v>373890</v>
      </c>
      <c r="V959">
        <v>0.64036666659999997</v>
      </c>
      <c r="W959">
        <v>0.63576666660000003</v>
      </c>
      <c r="X959">
        <v>0.55886666659999995</v>
      </c>
      <c r="Y959" t="s">
        <v>3007</v>
      </c>
      <c r="Z959">
        <v>10002.11</v>
      </c>
      <c r="AA959" t="s">
        <v>3007</v>
      </c>
      <c r="AB959">
        <v>10001.85</v>
      </c>
      <c r="AC959" t="s">
        <v>3007</v>
      </c>
      <c r="AD959">
        <v>10001.280000000001</v>
      </c>
      <c r="AE959" t="s">
        <v>3007</v>
      </c>
      <c r="AF959" t="s">
        <v>3004</v>
      </c>
      <c r="AG959" t="s">
        <v>185</v>
      </c>
      <c r="AI959" t="s">
        <v>186</v>
      </c>
      <c r="AJ959" t="s">
        <v>3042</v>
      </c>
      <c r="AK959" t="s">
        <v>3009</v>
      </c>
    </row>
    <row r="960" spans="1:37" x14ac:dyDescent="0.3">
      <c r="A960">
        <v>8010</v>
      </c>
      <c r="B960" s="207">
        <v>46121</v>
      </c>
      <c r="C960" t="s">
        <v>3004</v>
      </c>
      <c r="D960" t="s">
        <v>3043</v>
      </c>
      <c r="E960" t="s">
        <v>3044</v>
      </c>
      <c r="F960" s="207">
        <v>46227</v>
      </c>
      <c r="G960">
        <v>3.26</v>
      </c>
      <c r="H960">
        <v>70000000</v>
      </c>
      <c r="I960">
        <v>70160125000</v>
      </c>
      <c r="J960">
        <v>2.806</v>
      </c>
      <c r="K960">
        <v>10081</v>
      </c>
      <c r="L960">
        <v>70567000000</v>
      </c>
      <c r="M960">
        <v>-74880555</v>
      </c>
      <c r="N960">
        <v>481755555</v>
      </c>
      <c r="O960">
        <v>481755555</v>
      </c>
      <c r="P960">
        <v>0</v>
      </c>
      <c r="Q960">
        <v>0</v>
      </c>
      <c r="S960">
        <v>0</v>
      </c>
      <c r="T960">
        <v>67445770</v>
      </c>
      <c r="U960">
        <v>6744570</v>
      </c>
      <c r="V960">
        <v>0.28786666659999999</v>
      </c>
      <c r="W960">
        <v>0.28586666659999999</v>
      </c>
      <c r="X960">
        <v>0.15046666659999999</v>
      </c>
      <c r="Y960" t="s">
        <v>3007</v>
      </c>
      <c r="Z960">
        <v>10081.969999999999</v>
      </c>
      <c r="AA960" t="s">
        <v>3007</v>
      </c>
      <c r="AB960">
        <v>10081.76</v>
      </c>
      <c r="AC960" t="s">
        <v>3007</v>
      </c>
      <c r="AD960">
        <v>10081.530000000001</v>
      </c>
      <c r="AE960" t="s">
        <v>3007</v>
      </c>
      <c r="AF960" t="s">
        <v>3004</v>
      </c>
      <c r="AG960" t="s">
        <v>185</v>
      </c>
      <c r="AI960" t="s">
        <v>186</v>
      </c>
      <c r="AJ960" t="s">
        <v>3045</v>
      </c>
      <c r="AK960" t="s">
        <v>3009</v>
      </c>
    </row>
    <row r="961" spans="1:37" x14ac:dyDescent="0.3">
      <c r="A961">
        <v>8010</v>
      </c>
      <c r="B961" s="207">
        <v>46121</v>
      </c>
      <c r="C961" t="s">
        <v>3004</v>
      </c>
      <c r="D961" t="s">
        <v>3046</v>
      </c>
      <c r="E961" t="s">
        <v>3047</v>
      </c>
      <c r="F961" s="207">
        <v>46262</v>
      </c>
      <c r="G961">
        <v>4.2</v>
      </c>
      <c r="H961">
        <v>10000000</v>
      </c>
      <c r="I961">
        <v>10088195653</v>
      </c>
      <c r="J961">
        <v>2.8340000000000001</v>
      </c>
      <c r="K961">
        <v>10100</v>
      </c>
      <c r="L961">
        <v>10100000000</v>
      </c>
      <c r="M961">
        <v>-36566439</v>
      </c>
      <c r="N961">
        <v>48370786</v>
      </c>
      <c r="O961">
        <v>48370786</v>
      </c>
      <c r="P961">
        <v>0</v>
      </c>
      <c r="Q961">
        <v>0</v>
      </c>
      <c r="S961">
        <v>0</v>
      </c>
      <c r="T961">
        <v>6771910</v>
      </c>
      <c r="U961">
        <v>677190</v>
      </c>
      <c r="V961">
        <v>0.38333333330000002</v>
      </c>
      <c r="W961">
        <v>0.38059999999999999</v>
      </c>
      <c r="X961">
        <v>0.2349</v>
      </c>
      <c r="Y961" t="s">
        <v>3007</v>
      </c>
      <c r="Z961">
        <v>10100.58</v>
      </c>
      <c r="AA961" t="s">
        <v>3007</v>
      </c>
      <c r="AB961">
        <v>10100.35</v>
      </c>
      <c r="AC961" t="s">
        <v>3007</v>
      </c>
      <c r="AD961">
        <v>10099.959999999999</v>
      </c>
      <c r="AE961" t="s">
        <v>3007</v>
      </c>
      <c r="AF961" t="s">
        <v>3004</v>
      </c>
      <c r="AG961" t="s">
        <v>185</v>
      </c>
      <c r="AI961" t="s">
        <v>186</v>
      </c>
      <c r="AJ961" t="s">
        <v>3048</v>
      </c>
      <c r="AK961" t="s">
        <v>3009</v>
      </c>
    </row>
    <row r="962" spans="1:37" x14ac:dyDescent="0.3">
      <c r="A962">
        <v>8010</v>
      </c>
      <c r="B962" s="207">
        <v>46121</v>
      </c>
      <c r="C962" t="s">
        <v>3004</v>
      </c>
      <c r="D962" t="s">
        <v>3049</v>
      </c>
      <c r="E962" t="s">
        <v>3050</v>
      </c>
      <c r="F962" s="207">
        <v>46368</v>
      </c>
      <c r="G962">
        <v>2.54</v>
      </c>
      <c r="H962">
        <v>20000000</v>
      </c>
      <c r="I962">
        <v>19947777778</v>
      </c>
      <c r="J962">
        <v>2.9180000000000001</v>
      </c>
      <c r="K962">
        <v>9994</v>
      </c>
      <c r="L962">
        <v>19988000000</v>
      </c>
      <c r="M962">
        <v>189614</v>
      </c>
      <c r="N962">
        <v>40032608</v>
      </c>
      <c r="O962">
        <v>40032608</v>
      </c>
      <c r="P962">
        <v>0</v>
      </c>
      <c r="Q962">
        <v>0</v>
      </c>
      <c r="S962">
        <v>0</v>
      </c>
      <c r="T962">
        <v>5604560</v>
      </c>
      <c r="U962">
        <v>560450</v>
      </c>
      <c r="V962">
        <v>0.66753333329999998</v>
      </c>
      <c r="W962">
        <v>0.66263333329999996</v>
      </c>
      <c r="X962">
        <v>0.60113333329999996</v>
      </c>
      <c r="Y962" t="s">
        <v>3007</v>
      </c>
      <c r="Z962">
        <v>9995.2000000000007</v>
      </c>
      <c r="AA962" t="s">
        <v>3007</v>
      </c>
      <c r="AB962">
        <v>9995</v>
      </c>
      <c r="AC962" t="s">
        <v>3007</v>
      </c>
      <c r="AD962">
        <v>9994.41</v>
      </c>
      <c r="AE962" t="s">
        <v>3007</v>
      </c>
      <c r="AF962" t="s">
        <v>3004</v>
      </c>
      <c r="AG962" t="s">
        <v>185</v>
      </c>
      <c r="AI962" t="s">
        <v>186</v>
      </c>
      <c r="AJ962" t="s">
        <v>3051</v>
      </c>
      <c r="AK962" t="s">
        <v>3009</v>
      </c>
    </row>
    <row r="963" spans="1:37" x14ac:dyDescent="0.3">
      <c r="A963">
        <v>8010</v>
      </c>
      <c r="B963" s="207">
        <v>46121</v>
      </c>
      <c r="C963" t="s">
        <v>3004</v>
      </c>
      <c r="D963" t="s">
        <v>3052</v>
      </c>
      <c r="E963" t="s">
        <v>3053</v>
      </c>
      <c r="F963" s="207">
        <v>46351</v>
      </c>
      <c r="G963">
        <v>2.57</v>
      </c>
      <c r="H963">
        <v>20000000</v>
      </c>
      <c r="I963">
        <v>19954327957</v>
      </c>
      <c r="J963">
        <v>2.9039999999999999</v>
      </c>
      <c r="K963">
        <v>9990</v>
      </c>
      <c r="L963">
        <v>19980000000</v>
      </c>
      <c r="M963">
        <v>3564517</v>
      </c>
      <c r="N963">
        <v>22107526</v>
      </c>
      <c r="O963">
        <v>22107526</v>
      </c>
      <c r="P963">
        <v>0</v>
      </c>
      <c r="Q963">
        <v>0</v>
      </c>
      <c r="S963">
        <v>0</v>
      </c>
      <c r="T963">
        <v>3095050</v>
      </c>
      <c r="U963">
        <v>309500</v>
      </c>
      <c r="V963">
        <v>0.61960000000000004</v>
      </c>
      <c r="W963">
        <v>0.61809999999999998</v>
      </c>
      <c r="X963">
        <v>0.43490000000000001</v>
      </c>
      <c r="Y963" t="s">
        <v>3007</v>
      </c>
      <c r="Z963">
        <v>9990.7900000000009</v>
      </c>
      <c r="AA963" t="s">
        <v>3007</v>
      </c>
      <c r="AB963">
        <v>9990.5400000000009</v>
      </c>
      <c r="AC963" t="s">
        <v>3007</v>
      </c>
      <c r="AD963">
        <v>9989.86</v>
      </c>
      <c r="AE963" t="s">
        <v>3007</v>
      </c>
      <c r="AF963" t="s">
        <v>3004</v>
      </c>
      <c r="AG963" t="s">
        <v>185</v>
      </c>
      <c r="AI963" t="s">
        <v>186</v>
      </c>
      <c r="AJ963" t="s">
        <v>3054</v>
      </c>
      <c r="AK963" t="s">
        <v>3009</v>
      </c>
    </row>
    <row r="964" spans="1:37" x14ac:dyDescent="0.3">
      <c r="A964">
        <v>8010</v>
      </c>
      <c r="B964" s="207">
        <v>46121</v>
      </c>
      <c r="C964" t="s">
        <v>3004</v>
      </c>
      <c r="D964" t="s">
        <v>3055</v>
      </c>
      <c r="E964" t="s">
        <v>3056</v>
      </c>
      <c r="F964" s="207">
        <v>46320</v>
      </c>
      <c r="G964">
        <v>3.18</v>
      </c>
      <c r="H964">
        <v>20000000</v>
      </c>
      <c r="I964">
        <v>20056478262</v>
      </c>
      <c r="J964">
        <v>2.879</v>
      </c>
      <c r="K964">
        <v>10082</v>
      </c>
      <c r="L964">
        <v>20164000000</v>
      </c>
      <c r="M964">
        <v>-24978262</v>
      </c>
      <c r="N964">
        <v>132500000</v>
      </c>
      <c r="O964">
        <v>132500000</v>
      </c>
      <c r="P964">
        <v>0</v>
      </c>
      <c r="Q964">
        <v>0</v>
      </c>
      <c r="S964">
        <v>0</v>
      </c>
      <c r="T964">
        <v>18550000</v>
      </c>
      <c r="U964">
        <v>1855000</v>
      </c>
      <c r="V964">
        <v>0.53680000000000005</v>
      </c>
      <c r="W964">
        <v>0.53293333330000003</v>
      </c>
      <c r="X964">
        <v>0.4158333333</v>
      </c>
      <c r="Y964" t="s">
        <v>3007</v>
      </c>
      <c r="Z964">
        <v>10082.719999999999</v>
      </c>
      <c r="AA964" t="s">
        <v>3007</v>
      </c>
      <c r="AB964">
        <v>10082.34</v>
      </c>
      <c r="AC964" t="s">
        <v>3007</v>
      </c>
      <c r="AD964">
        <v>10081.75</v>
      </c>
      <c r="AE964" t="s">
        <v>3007</v>
      </c>
      <c r="AF964" t="s">
        <v>3004</v>
      </c>
      <c r="AG964" t="s">
        <v>185</v>
      </c>
      <c r="AI964" t="s">
        <v>186</v>
      </c>
      <c r="AJ964" t="s">
        <v>3057</v>
      </c>
      <c r="AK964" t="s">
        <v>3009</v>
      </c>
    </row>
    <row r="965" spans="1:37" x14ac:dyDescent="0.3">
      <c r="A965">
        <v>8010</v>
      </c>
      <c r="B965" s="207">
        <v>46121</v>
      </c>
      <c r="C965" t="s">
        <v>3004</v>
      </c>
      <c r="D965" t="s">
        <v>3058</v>
      </c>
      <c r="E965" t="s">
        <v>3059</v>
      </c>
      <c r="F965" s="207">
        <v>46354</v>
      </c>
      <c r="G965">
        <v>3.11</v>
      </c>
      <c r="H965">
        <v>60000000</v>
      </c>
      <c r="I965">
        <v>60151597828</v>
      </c>
      <c r="J965">
        <v>2.907</v>
      </c>
      <c r="K965">
        <v>10048</v>
      </c>
      <c r="L965">
        <v>60288000000</v>
      </c>
      <c r="M965">
        <v>-78502322</v>
      </c>
      <c r="N965">
        <v>214904494</v>
      </c>
      <c r="O965">
        <v>214904494</v>
      </c>
      <c r="P965">
        <v>0</v>
      </c>
      <c r="Q965">
        <v>0</v>
      </c>
      <c r="S965">
        <v>0</v>
      </c>
      <c r="T965">
        <v>30086620</v>
      </c>
      <c r="U965">
        <v>3008660</v>
      </c>
      <c r="V965">
        <v>0.63016666659999998</v>
      </c>
      <c r="W965">
        <v>0.62560000000000004</v>
      </c>
      <c r="X965">
        <v>0.54393333330000004</v>
      </c>
      <c r="Y965" t="s">
        <v>3007</v>
      </c>
      <c r="Z965">
        <v>10048.65</v>
      </c>
      <c r="AA965" t="s">
        <v>3007</v>
      </c>
      <c r="AB965">
        <v>10048.530000000001</v>
      </c>
      <c r="AC965" t="s">
        <v>3007</v>
      </c>
      <c r="AD965">
        <v>10047.9</v>
      </c>
      <c r="AE965" t="s">
        <v>3007</v>
      </c>
      <c r="AF965" t="s">
        <v>3004</v>
      </c>
      <c r="AG965" t="s">
        <v>185</v>
      </c>
      <c r="AI965" t="s">
        <v>186</v>
      </c>
      <c r="AJ965" t="s">
        <v>3060</v>
      </c>
      <c r="AK965" t="s">
        <v>3009</v>
      </c>
    </row>
    <row r="966" spans="1:37" x14ac:dyDescent="0.3">
      <c r="A966">
        <v>8010</v>
      </c>
      <c r="B966" s="207">
        <v>46121</v>
      </c>
      <c r="C966" t="s">
        <v>182</v>
      </c>
      <c r="D966" t="s">
        <v>3061</v>
      </c>
      <c r="E966" t="s">
        <v>3062</v>
      </c>
      <c r="F966" s="207">
        <v>46914</v>
      </c>
      <c r="G966">
        <v>2.25</v>
      </c>
      <c r="H966">
        <v>30000000</v>
      </c>
      <c r="I966">
        <v>29485203297</v>
      </c>
      <c r="J966">
        <v>3.2519999999999998</v>
      </c>
      <c r="K966">
        <v>9866</v>
      </c>
      <c r="L966">
        <v>29598000000</v>
      </c>
      <c r="M966">
        <v>-111585165</v>
      </c>
      <c r="N966">
        <v>224381868</v>
      </c>
      <c r="O966">
        <v>183585165</v>
      </c>
      <c r="P966">
        <v>40796703</v>
      </c>
      <c r="Q966">
        <v>0</v>
      </c>
      <c r="S966">
        <v>0</v>
      </c>
      <c r="T966">
        <v>31413460</v>
      </c>
      <c r="U966">
        <v>3141340</v>
      </c>
      <c r="V966">
        <v>2.1133000000000002</v>
      </c>
      <c r="W966">
        <v>2.0794999999999999</v>
      </c>
      <c r="X966">
        <v>5.4077666665999997</v>
      </c>
      <c r="Z966">
        <v>9866.2099999999991</v>
      </c>
      <c r="AB966">
        <v>9866.2099999999991</v>
      </c>
      <c r="AD966">
        <v>9866.2099999999991</v>
      </c>
      <c r="AF966" t="s">
        <v>182</v>
      </c>
      <c r="AG966" t="s">
        <v>185</v>
      </c>
      <c r="AI966" t="s">
        <v>186</v>
      </c>
      <c r="AJ966" t="s">
        <v>3063</v>
      </c>
      <c r="AK966" t="s">
        <v>188</v>
      </c>
    </row>
    <row r="967" spans="1:37" x14ac:dyDescent="0.3">
      <c r="A967">
        <v>8010</v>
      </c>
      <c r="B967" s="207">
        <v>46121</v>
      </c>
      <c r="C967" t="s">
        <v>3004</v>
      </c>
      <c r="D967" t="s">
        <v>3064</v>
      </c>
      <c r="E967" t="s">
        <v>3065</v>
      </c>
      <c r="F967" s="207">
        <v>46358</v>
      </c>
      <c r="G967">
        <v>2.85</v>
      </c>
      <c r="H967">
        <v>10000000</v>
      </c>
      <c r="I967">
        <v>10004233334</v>
      </c>
      <c r="J967">
        <v>2.8809999999999998</v>
      </c>
      <c r="K967">
        <v>10028</v>
      </c>
      <c r="L967">
        <v>10028000000</v>
      </c>
      <c r="M967">
        <v>-6458334</v>
      </c>
      <c r="N967">
        <v>30225000</v>
      </c>
      <c r="O967">
        <v>30225000</v>
      </c>
      <c r="P967">
        <v>0</v>
      </c>
      <c r="Q967">
        <v>0</v>
      </c>
      <c r="S967">
        <v>0</v>
      </c>
      <c r="T967">
        <v>4231500</v>
      </c>
      <c r="U967">
        <v>423150</v>
      </c>
      <c r="V967">
        <v>0.63976666660000003</v>
      </c>
      <c r="W967">
        <v>0.63519999999999999</v>
      </c>
      <c r="X967">
        <v>0.55826666660000002</v>
      </c>
      <c r="Y967" t="s">
        <v>3007</v>
      </c>
      <c r="Z967">
        <v>10028.36</v>
      </c>
      <c r="AA967" t="s">
        <v>3007</v>
      </c>
      <c r="AB967">
        <v>10028.23</v>
      </c>
      <c r="AC967" t="s">
        <v>3007</v>
      </c>
      <c r="AD967">
        <v>10027.59</v>
      </c>
      <c r="AE967" t="s">
        <v>3007</v>
      </c>
      <c r="AF967" t="s">
        <v>3066</v>
      </c>
      <c r="AG967" t="s">
        <v>185</v>
      </c>
      <c r="AI967" t="s">
        <v>186</v>
      </c>
      <c r="AJ967" t="s">
        <v>3067</v>
      </c>
      <c r="AK967" t="s">
        <v>3009</v>
      </c>
    </row>
    <row r="968" spans="1:37" x14ac:dyDescent="0.3">
      <c r="A968">
        <v>8010</v>
      </c>
      <c r="B968" s="207">
        <v>46121</v>
      </c>
      <c r="C968" t="s">
        <v>3004</v>
      </c>
      <c r="D968" t="s">
        <v>3068</v>
      </c>
      <c r="E968" t="s">
        <v>3069</v>
      </c>
      <c r="F968" s="207">
        <v>46146</v>
      </c>
      <c r="G968">
        <v>3.2</v>
      </c>
      <c r="H968">
        <v>20000000</v>
      </c>
      <c r="I968">
        <v>20027130435</v>
      </c>
      <c r="J968">
        <v>2.7349999999999999</v>
      </c>
      <c r="K968">
        <v>10061</v>
      </c>
      <c r="L968">
        <v>20122000000</v>
      </c>
      <c r="M968">
        <v>-21984367</v>
      </c>
      <c r="N968">
        <v>116853932</v>
      </c>
      <c r="O968">
        <v>116853932</v>
      </c>
      <c r="P968">
        <v>0</v>
      </c>
      <c r="Q968">
        <v>0</v>
      </c>
      <c r="S968">
        <v>0</v>
      </c>
      <c r="T968">
        <v>16359550</v>
      </c>
      <c r="U968">
        <v>1635950</v>
      </c>
      <c r="V968">
        <v>6.8466666600000003E-2</v>
      </c>
      <c r="W968">
        <v>6.8000000000000005E-2</v>
      </c>
      <c r="X968">
        <v>1.74666666E-2</v>
      </c>
      <c r="Y968" t="s">
        <v>3007</v>
      </c>
      <c r="Z968">
        <v>10061.51</v>
      </c>
      <c r="AA968" t="s">
        <v>3007</v>
      </c>
      <c r="AB968">
        <v>10061.42</v>
      </c>
      <c r="AC968" t="s">
        <v>3007</v>
      </c>
      <c r="AD968">
        <v>10061.39</v>
      </c>
      <c r="AE968" t="s">
        <v>3007</v>
      </c>
      <c r="AF968" t="s">
        <v>3066</v>
      </c>
      <c r="AG968" t="s">
        <v>185</v>
      </c>
      <c r="AI968" t="s">
        <v>186</v>
      </c>
      <c r="AJ968" t="s">
        <v>3070</v>
      </c>
      <c r="AK968" t="s">
        <v>3009</v>
      </c>
    </row>
    <row r="969" spans="1:37" x14ac:dyDescent="0.3">
      <c r="A969">
        <v>8010</v>
      </c>
      <c r="B969" s="207">
        <v>46121</v>
      </c>
      <c r="C969" t="s">
        <v>3004</v>
      </c>
      <c r="D969" t="s">
        <v>3071</v>
      </c>
      <c r="E969" t="s">
        <v>3072</v>
      </c>
      <c r="F969" s="207">
        <v>46365</v>
      </c>
      <c r="G969">
        <v>2.88</v>
      </c>
      <c r="H969">
        <v>10000000</v>
      </c>
      <c r="I969">
        <v>10007600000</v>
      </c>
      <c r="J969">
        <v>2.887</v>
      </c>
      <c r="K969">
        <v>10024</v>
      </c>
      <c r="L969">
        <v>10024000000</v>
      </c>
      <c r="M969">
        <v>-8643478</v>
      </c>
      <c r="N969">
        <v>25043478</v>
      </c>
      <c r="O969">
        <v>25043478</v>
      </c>
      <c r="P969">
        <v>0</v>
      </c>
      <c r="Q969">
        <v>0</v>
      </c>
      <c r="S969">
        <v>0</v>
      </c>
      <c r="T969">
        <v>3506080</v>
      </c>
      <c r="U969">
        <v>350600</v>
      </c>
      <c r="V969">
        <v>0.65873333329999995</v>
      </c>
      <c r="W969">
        <v>0.65403333330000002</v>
      </c>
      <c r="X969">
        <v>0.58756666660000001</v>
      </c>
      <c r="Y969" t="s">
        <v>3007</v>
      </c>
      <c r="Z969">
        <v>10024.66</v>
      </c>
      <c r="AA969" t="s">
        <v>3007</v>
      </c>
      <c r="AB969">
        <v>10024.66</v>
      </c>
      <c r="AC969" t="s">
        <v>3007</v>
      </c>
      <c r="AD969">
        <v>10024.07</v>
      </c>
      <c r="AE969" t="s">
        <v>3007</v>
      </c>
      <c r="AF969" t="s">
        <v>3066</v>
      </c>
      <c r="AG969" t="s">
        <v>185</v>
      </c>
      <c r="AI969" t="s">
        <v>186</v>
      </c>
      <c r="AJ969" t="s">
        <v>3073</v>
      </c>
      <c r="AK969" t="s">
        <v>3009</v>
      </c>
    </row>
    <row r="970" spans="1:37" x14ac:dyDescent="0.3">
      <c r="A970">
        <v>8010</v>
      </c>
      <c r="B970" s="207">
        <v>46121</v>
      </c>
      <c r="C970" t="s">
        <v>3004</v>
      </c>
      <c r="D970" t="s">
        <v>3074</v>
      </c>
      <c r="E970" t="s">
        <v>3075</v>
      </c>
      <c r="F970" s="207">
        <v>46219</v>
      </c>
      <c r="G970">
        <v>3.2</v>
      </c>
      <c r="H970">
        <v>20000000</v>
      </c>
      <c r="I970">
        <v>20040086957</v>
      </c>
      <c r="J970">
        <v>2.778</v>
      </c>
      <c r="K970">
        <v>10085</v>
      </c>
      <c r="L970">
        <v>20170000000</v>
      </c>
      <c r="M970">
        <v>-19420290</v>
      </c>
      <c r="N970">
        <v>149333333</v>
      </c>
      <c r="O970">
        <v>149333333</v>
      </c>
      <c r="P970">
        <v>0</v>
      </c>
      <c r="Q970">
        <v>0</v>
      </c>
      <c r="S970">
        <v>0</v>
      </c>
      <c r="T970">
        <v>20906660</v>
      </c>
      <c r="U970">
        <v>2090660</v>
      </c>
      <c r="V970">
        <v>0.26566666659999999</v>
      </c>
      <c r="W970">
        <v>0.26383333329999997</v>
      </c>
      <c r="X970">
        <v>0.1343</v>
      </c>
      <c r="Y970" t="s">
        <v>3007</v>
      </c>
      <c r="Z970">
        <v>10085.99</v>
      </c>
      <c r="AA970" t="s">
        <v>3007</v>
      </c>
      <c r="AB970">
        <v>10085.879999999999</v>
      </c>
      <c r="AC970" t="s">
        <v>3007</v>
      </c>
      <c r="AD970">
        <v>10085.540000000001</v>
      </c>
      <c r="AE970" t="s">
        <v>3007</v>
      </c>
      <c r="AF970" t="s">
        <v>3066</v>
      </c>
      <c r="AG970" t="s">
        <v>185</v>
      </c>
      <c r="AI970" t="s">
        <v>186</v>
      </c>
      <c r="AJ970" t="s">
        <v>3076</v>
      </c>
      <c r="AK970" t="s">
        <v>3009</v>
      </c>
    </row>
    <row r="971" spans="1:37" x14ac:dyDescent="0.3">
      <c r="A971">
        <v>8010</v>
      </c>
      <c r="B971" s="207">
        <v>46121</v>
      </c>
      <c r="C971" t="s">
        <v>3004</v>
      </c>
      <c r="D971" t="s">
        <v>3077</v>
      </c>
      <c r="E971" t="s">
        <v>3078</v>
      </c>
      <c r="F971" s="207">
        <v>46228</v>
      </c>
      <c r="G971">
        <v>3.93</v>
      </c>
      <c r="H971">
        <v>10000000</v>
      </c>
      <c r="I971">
        <v>10062343479</v>
      </c>
      <c r="J971">
        <v>2.7839999999999998</v>
      </c>
      <c r="K971">
        <v>10114</v>
      </c>
      <c r="L971">
        <v>10114000000</v>
      </c>
      <c r="M971">
        <v>-30260145</v>
      </c>
      <c r="N971">
        <v>81916666</v>
      </c>
      <c r="O971">
        <v>81916666</v>
      </c>
      <c r="P971">
        <v>0</v>
      </c>
      <c r="Q971">
        <v>0</v>
      </c>
      <c r="S971">
        <v>0</v>
      </c>
      <c r="T971">
        <v>11468330</v>
      </c>
      <c r="U971">
        <v>1146830</v>
      </c>
      <c r="V971">
        <v>0.29023333330000001</v>
      </c>
      <c r="W971">
        <v>0.28823333330000001</v>
      </c>
      <c r="X971">
        <v>0.15236666660000001</v>
      </c>
      <c r="Y971" t="s">
        <v>3007</v>
      </c>
      <c r="Z971">
        <v>10115.17</v>
      </c>
      <c r="AA971" t="s">
        <v>3007</v>
      </c>
      <c r="AB971">
        <v>10115.02</v>
      </c>
      <c r="AC971" t="s">
        <v>3007</v>
      </c>
      <c r="AD971">
        <v>10114.64</v>
      </c>
      <c r="AE971" t="s">
        <v>3007</v>
      </c>
      <c r="AF971" t="s">
        <v>3066</v>
      </c>
      <c r="AG971" t="s">
        <v>185</v>
      </c>
      <c r="AI971" t="s">
        <v>186</v>
      </c>
      <c r="AJ971" t="s">
        <v>3079</v>
      </c>
      <c r="AK971" t="s">
        <v>3009</v>
      </c>
    </row>
    <row r="972" spans="1:37" x14ac:dyDescent="0.3">
      <c r="A972">
        <v>8010</v>
      </c>
      <c r="B972" s="207">
        <v>46121</v>
      </c>
      <c r="C972" t="s">
        <v>3004</v>
      </c>
      <c r="D972" t="s">
        <v>3080</v>
      </c>
      <c r="E972" t="s">
        <v>3081</v>
      </c>
      <c r="F972" s="207">
        <v>46256</v>
      </c>
      <c r="G972">
        <v>4.08</v>
      </c>
      <c r="H972">
        <v>10000000</v>
      </c>
      <c r="I972">
        <v>10080652174</v>
      </c>
      <c r="J972">
        <v>2.806</v>
      </c>
      <c r="K972">
        <v>10100</v>
      </c>
      <c r="L972">
        <v>10100000000</v>
      </c>
      <c r="M972">
        <v>-34517342</v>
      </c>
      <c r="N972">
        <v>53865168</v>
      </c>
      <c r="O972">
        <v>53865168</v>
      </c>
      <c r="P972">
        <v>0</v>
      </c>
      <c r="Q972">
        <v>0</v>
      </c>
      <c r="S972">
        <v>0</v>
      </c>
      <c r="T972">
        <v>7541120</v>
      </c>
      <c r="U972">
        <v>754110</v>
      </c>
      <c r="V972">
        <v>0.36656666659999998</v>
      </c>
      <c r="W972">
        <v>0.36399999999999999</v>
      </c>
      <c r="X972">
        <v>0.21836666660000001</v>
      </c>
      <c r="Y972" t="s">
        <v>3007</v>
      </c>
      <c r="Z972">
        <v>10100.41</v>
      </c>
      <c r="AA972" t="s">
        <v>3007</v>
      </c>
      <c r="AB972">
        <v>10100.299999999999</v>
      </c>
      <c r="AC972" t="s">
        <v>3007</v>
      </c>
      <c r="AD972">
        <v>10099.82</v>
      </c>
      <c r="AE972" t="s">
        <v>3007</v>
      </c>
      <c r="AF972" t="s">
        <v>3066</v>
      </c>
      <c r="AG972" t="s">
        <v>185</v>
      </c>
      <c r="AI972" t="s">
        <v>186</v>
      </c>
      <c r="AJ972" t="s">
        <v>3082</v>
      </c>
      <c r="AK972" t="s">
        <v>3009</v>
      </c>
    </row>
    <row r="973" spans="1:37" x14ac:dyDescent="0.3">
      <c r="A973">
        <v>8010</v>
      </c>
      <c r="B973" s="207">
        <v>46121</v>
      </c>
      <c r="C973" t="s">
        <v>3004</v>
      </c>
      <c r="D973" t="s">
        <v>3083</v>
      </c>
      <c r="E973" t="s">
        <v>3084</v>
      </c>
      <c r="F973" s="207">
        <v>46187</v>
      </c>
      <c r="G973">
        <v>1.83</v>
      </c>
      <c r="H973">
        <v>10000000</v>
      </c>
      <c r="I973">
        <v>9955840000</v>
      </c>
      <c r="J973">
        <v>2.758</v>
      </c>
      <c r="K973">
        <v>9997</v>
      </c>
      <c r="L973">
        <v>9997000000</v>
      </c>
      <c r="M973">
        <v>27718696</v>
      </c>
      <c r="N973">
        <v>13441304</v>
      </c>
      <c r="O973">
        <v>13441304</v>
      </c>
      <c r="P973">
        <v>0</v>
      </c>
      <c r="Q973">
        <v>0</v>
      </c>
      <c r="S973">
        <v>0</v>
      </c>
      <c r="T973">
        <v>1881780</v>
      </c>
      <c r="U973">
        <v>188170</v>
      </c>
      <c r="V973">
        <v>0.1776333333</v>
      </c>
      <c r="W973">
        <v>0.17643333329999999</v>
      </c>
      <c r="X973">
        <v>7.0699999999999999E-2</v>
      </c>
      <c r="Y973" t="s">
        <v>3007</v>
      </c>
      <c r="Z973">
        <v>9997.2000000000007</v>
      </c>
      <c r="AA973" t="s">
        <v>3007</v>
      </c>
      <c r="AB973">
        <v>9997.0400000000009</v>
      </c>
      <c r="AC973" t="s">
        <v>3007</v>
      </c>
      <c r="AD973">
        <v>9996.89</v>
      </c>
      <c r="AE973" t="s">
        <v>3007</v>
      </c>
      <c r="AF973" t="s">
        <v>3066</v>
      </c>
      <c r="AG973" t="s">
        <v>185</v>
      </c>
      <c r="AI973" t="s">
        <v>186</v>
      </c>
      <c r="AJ973" t="s">
        <v>3085</v>
      </c>
      <c r="AK973" t="s">
        <v>3009</v>
      </c>
    </row>
    <row r="974" spans="1:37" x14ac:dyDescent="0.3">
      <c r="A974">
        <v>8010</v>
      </c>
      <c r="B974" s="207">
        <v>46121</v>
      </c>
      <c r="C974" t="s">
        <v>3004</v>
      </c>
      <c r="D974" t="s">
        <v>3086</v>
      </c>
      <c r="E974" t="s">
        <v>3087</v>
      </c>
      <c r="F974" s="207">
        <v>46226</v>
      </c>
      <c r="G974">
        <v>3.22</v>
      </c>
      <c r="H974">
        <v>10000000</v>
      </c>
      <c r="I974">
        <v>10022750000</v>
      </c>
      <c r="J974">
        <v>2.782</v>
      </c>
      <c r="K974">
        <v>10081</v>
      </c>
      <c r="L974">
        <v>10081000000</v>
      </c>
      <c r="M974">
        <v>-10622222</v>
      </c>
      <c r="N974">
        <v>68872222</v>
      </c>
      <c r="O974">
        <v>68872222</v>
      </c>
      <c r="P974">
        <v>0</v>
      </c>
      <c r="Q974">
        <v>0</v>
      </c>
      <c r="S974">
        <v>0</v>
      </c>
      <c r="T974">
        <v>9642110</v>
      </c>
      <c r="U974">
        <v>964210</v>
      </c>
      <c r="V974">
        <v>0.28510000000000002</v>
      </c>
      <c r="W974">
        <v>0.28313333330000001</v>
      </c>
      <c r="X974">
        <v>0.1484</v>
      </c>
      <c r="Y974" t="s">
        <v>3007</v>
      </c>
      <c r="Z974">
        <v>10081.44</v>
      </c>
      <c r="AA974" t="s">
        <v>3007</v>
      </c>
      <c r="AB974">
        <v>10081.299999999999</v>
      </c>
      <c r="AC974" t="s">
        <v>3007</v>
      </c>
      <c r="AD974">
        <v>10080.93</v>
      </c>
      <c r="AE974" t="s">
        <v>3007</v>
      </c>
      <c r="AF974" t="s">
        <v>3066</v>
      </c>
      <c r="AG974" t="s">
        <v>185</v>
      </c>
      <c r="AI974" t="s">
        <v>186</v>
      </c>
      <c r="AJ974" t="s">
        <v>3088</v>
      </c>
      <c r="AK974" t="s">
        <v>3009</v>
      </c>
    </row>
    <row r="975" spans="1:37" x14ac:dyDescent="0.3">
      <c r="A975">
        <v>8010</v>
      </c>
      <c r="B975" s="207">
        <v>46121</v>
      </c>
      <c r="C975" t="s">
        <v>3004</v>
      </c>
      <c r="D975" t="s">
        <v>3089</v>
      </c>
      <c r="E975" t="s">
        <v>3090</v>
      </c>
      <c r="F975" s="207">
        <v>46341</v>
      </c>
      <c r="G975">
        <v>3.19</v>
      </c>
      <c r="H975">
        <v>10000000</v>
      </c>
      <c r="I975">
        <v>10033232609</v>
      </c>
      <c r="J975">
        <v>2.8690000000000002</v>
      </c>
      <c r="K975">
        <v>10067</v>
      </c>
      <c r="L975">
        <v>10067000000</v>
      </c>
      <c r="M975">
        <v>-14650586</v>
      </c>
      <c r="N975">
        <v>48417977</v>
      </c>
      <c r="O975">
        <v>48417977</v>
      </c>
      <c r="P975">
        <v>0</v>
      </c>
      <c r="Q975">
        <v>0</v>
      </c>
      <c r="S975">
        <v>0</v>
      </c>
      <c r="T975">
        <v>6778510</v>
      </c>
      <c r="U975">
        <v>677850</v>
      </c>
      <c r="V975">
        <v>0.59346666660000003</v>
      </c>
      <c r="W975">
        <v>0.58926666660000004</v>
      </c>
      <c r="X975">
        <v>0.4909333333</v>
      </c>
      <c r="Y975" t="s">
        <v>3007</v>
      </c>
      <c r="Z975">
        <v>10067.459999999999</v>
      </c>
      <c r="AA975" t="s">
        <v>3007</v>
      </c>
      <c r="AB975">
        <v>10067.41</v>
      </c>
      <c r="AC975" t="s">
        <v>3007</v>
      </c>
      <c r="AD975">
        <v>10066.75</v>
      </c>
      <c r="AE975" t="s">
        <v>3007</v>
      </c>
      <c r="AF975" t="s">
        <v>3066</v>
      </c>
      <c r="AG975" t="s">
        <v>185</v>
      </c>
      <c r="AI975" t="s">
        <v>186</v>
      </c>
      <c r="AJ975" t="s">
        <v>3091</v>
      </c>
      <c r="AK975" t="s">
        <v>3009</v>
      </c>
    </row>
    <row r="976" spans="1:37" x14ac:dyDescent="0.3">
      <c r="A976">
        <v>8010</v>
      </c>
      <c r="B976" s="207">
        <v>46121</v>
      </c>
      <c r="C976" t="s">
        <v>3004</v>
      </c>
      <c r="D976" t="s">
        <v>3092</v>
      </c>
      <c r="E976" t="s">
        <v>3093</v>
      </c>
      <c r="F976" s="207">
        <v>46411</v>
      </c>
      <c r="G976">
        <v>3.22</v>
      </c>
      <c r="H976">
        <v>10000000</v>
      </c>
      <c r="I976">
        <v>10043625000</v>
      </c>
      <c r="J976">
        <v>2.9359999999999999</v>
      </c>
      <c r="K976">
        <v>10089</v>
      </c>
      <c r="L976">
        <v>10089000000</v>
      </c>
      <c r="M976">
        <v>-22602777</v>
      </c>
      <c r="N976">
        <v>67977777</v>
      </c>
      <c r="O976">
        <v>67977777</v>
      </c>
      <c r="P976">
        <v>0</v>
      </c>
      <c r="Q976">
        <v>0</v>
      </c>
      <c r="S976">
        <v>0</v>
      </c>
      <c r="T976">
        <v>9516880</v>
      </c>
      <c r="U976">
        <v>951680</v>
      </c>
      <c r="V976">
        <v>0.77800000000000002</v>
      </c>
      <c r="W976">
        <v>0.77233333329999998</v>
      </c>
      <c r="X976">
        <v>0.79216666660000001</v>
      </c>
      <c r="Y976" t="s">
        <v>3007</v>
      </c>
      <c r="Z976">
        <v>10089.89</v>
      </c>
      <c r="AA976" t="s">
        <v>3007</v>
      </c>
      <c r="AB976">
        <v>10090.35</v>
      </c>
      <c r="AC976" t="s">
        <v>3007</v>
      </c>
      <c r="AD976">
        <v>10089.65</v>
      </c>
      <c r="AE976" t="s">
        <v>3007</v>
      </c>
      <c r="AF976" t="s">
        <v>3066</v>
      </c>
      <c r="AG976" t="s">
        <v>185</v>
      </c>
      <c r="AI976" t="s">
        <v>186</v>
      </c>
      <c r="AJ976" t="s">
        <v>3094</v>
      </c>
      <c r="AK976" t="s">
        <v>3009</v>
      </c>
    </row>
    <row r="977" spans="1:37" x14ac:dyDescent="0.3">
      <c r="A977">
        <v>8010</v>
      </c>
      <c r="B977" s="207">
        <v>46121</v>
      </c>
      <c r="C977" t="s">
        <v>3004</v>
      </c>
      <c r="D977" t="s">
        <v>3095</v>
      </c>
      <c r="E977" t="s">
        <v>3096</v>
      </c>
      <c r="F977" s="207">
        <v>46344</v>
      </c>
      <c r="G977">
        <v>3.18</v>
      </c>
      <c r="H977">
        <v>10000000</v>
      </c>
      <c r="I977">
        <v>10032978261</v>
      </c>
      <c r="J977">
        <v>2.871</v>
      </c>
      <c r="K977">
        <v>10063</v>
      </c>
      <c r="L977">
        <v>10063000000</v>
      </c>
      <c r="M977">
        <v>-15534440</v>
      </c>
      <c r="N977">
        <v>45556179</v>
      </c>
      <c r="O977">
        <v>45556179</v>
      </c>
      <c r="P977">
        <v>0</v>
      </c>
      <c r="Q977">
        <v>0</v>
      </c>
      <c r="S977">
        <v>0</v>
      </c>
      <c r="T977">
        <v>6377860</v>
      </c>
      <c r="U977">
        <v>637780</v>
      </c>
      <c r="V977">
        <v>0.60193333329999998</v>
      </c>
      <c r="W977">
        <v>0.59766666660000001</v>
      </c>
      <c r="X977">
        <v>0.50286666660000001</v>
      </c>
      <c r="Y977" t="s">
        <v>3007</v>
      </c>
      <c r="Z977">
        <v>10064.120000000001</v>
      </c>
      <c r="AA977" t="s">
        <v>3007</v>
      </c>
      <c r="AB977">
        <v>10064.120000000001</v>
      </c>
      <c r="AC977" t="s">
        <v>3007</v>
      </c>
      <c r="AD977">
        <v>10063.459999999999</v>
      </c>
      <c r="AE977" t="s">
        <v>3007</v>
      </c>
      <c r="AF977" t="s">
        <v>3066</v>
      </c>
      <c r="AG977" t="s">
        <v>185</v>
      </c>
      <c r="AI977" t="s">
        <v>186</v>
      </c>
      <c r="AJ977" t="s">
        <v>3097</v>
      </c>
      <c r="AK977" t="s">
        <v>3009</v>
      </c>
    </row>
    <row r="978" spans="1:37" x14ac:dyDescent="0.3">
      <c r="A978">
        <v>8010</v>
      </c>
      <c r="B978" s="207">
        <v>46121</v>
      </c>
      <c r="C978" t="s">
        <v>3004</v>
      </c>
      <c r="D978" t="s">
        <v>3098</v>
      </c>
      <c r="E978" t="s">
        <v>3099</v>
      </c>
      <c r="F978" s="207">
        <v>46347</v>
      </c>
      <c r="G978">
        <v>3.15</v>
      </c>
      <c r="H978">
        <v>10000000</v>
      </c>
      <c r="I978">
        <v>10030882609</v>
      </c>
      <c r="J978">
        <v>2.8740000000000001</v>
      </c>
      <c r="K978">
        <v>10059</v>
      </c>
      <c r="L978">
        <v>10059000000</v>
      </c>
      <c r="M978">
        <v>-14381485</v>
      </c>
      <c r="N978">
        <v>42498876</v>
      </c>
      <c r="O978">
        <v>42498876</v>
      </c>
      <c r="P978">
        <v>0</v>
      </c>
      <c r="Q978">
        <v>0</v>
      </c>
      <c r="S978">
        <v>0</v>
      </c>
      <c r="T978">
        <v>5949840</v>
      </c>
      <c r="U978">
        <v>594980</v>
      </c>
      <c r="V978">
        <v>0.61040000000000005</v>
      </c>
      <c r="W978">
        <v>0.60606666659999997</v>
      </c>
      <c r="X978">
        <v>0.51500000000000001</v>
      </c>
      <c r="Y978" t="s">
        <v>3007</v>
      </c>
      <c r="Z978">
        <v>10059.290000000001</v>
      </c>
      <c r="AA978" t="s">
        <v>3007</v>
      </c>
      <c r="AB978">
        <v>10059.35</v>
      </c>
      <c r="AC978" t="s">
        <v>3007</v>
      </c>
      <c r="AD978">
        <v>10058.68</v>
      </c>
      <c r="AE978" t="s">
        <v>3007</v>
      </c>
      <c r="AF978" t="s">
        <v>3066</v>
      </c>
      <c r="AG978" t="s">
        <v>185</v>
      </c>
      <c r="AI978" t="s">
        <v>186</v>
      </c>
      <c r="AJ978" t="s">
        <v>3100</v>
      </c>
      <c r="AK978" t="s">
        <v>3009</v>
      </c>
    </row>
    <row r="979" spans="1:37" x14ac:dyDescent="0.3">
      <c r="A979">
        <v>8010</v>
      </c>
      <c r="B979" s="207">
        <v>46121</v>
      </c>
      <c r="C979" t="s">
        <v>3004</v>
      </c>
      <c r="D979" t="s">
        <v>3101</v>
      </c>
      <c r="E979" t="s">
        <v>3102</v>
      </c>
      <c r="F979" s="207">
        <v>46362</v>
      </c>
      <c r="G979">
        <v>2.84</v>
      </c>
      <c r="H979">
        <v>10000000</v>
      </c>
      <c r="I979">
        <v>10003488889</v>
      </c>
      <c r="J979">
        <v>2.8839999999999999</v>
      </c>
      <c r="K979">
        <v>10023</v>
      </c>
      <c r="L979">
        <v>10023000000</v>
      </c>
      <c r="M979">
        <v>-7499758</v>
      </c>
      <c r="N979">
        <v>27010869</v>
      </c>
      <c r="O979">
        <v>27010869</v>
      </c>
      <c r="P979">
        <v>0</v>
      </c>
      <c r="Q979">
        <v>0</v>
      </c>
      <c r="S979">
        <v>0</v>
      </c>
      <c r="T979">
        <v>3781520</v>
      </c>
      <c r="U979">
        <v>378150</v>
      </c>
      <c r="V979">
        <v>0.65063333329999995</v>
      </c>
      <c r="W979">
        <v>0.64603333330000001</v>
      </c>
      <c r="X979">
        <v>0.57499999999999996</v>
      </c>
      <c r="Y979" t="s">
        <v>3007</v>
      </c>
      <c r="Z979">
        <v>10024.23</v>
      </c>
      <c r="AA979" t="s">
        <v>3007</v>
      </c>
      <c r="AB979">
        <v>10024.17</v>
      </c>
      <c r="AC979" t="s">
        <v>3007</v>
      </c>
      <c r="AD979">
        <v>10023.59</v>
      </c>
      <c r="AE979" t="s">
        <v>3007</v>
      </c>
      <c r="AF979" t="s">
        <v>3066</v>
      </c>
      <c r="AG979" t="s">
        <v>185</v>
      </c>
      <c r="AI979" t="s">
        <v>186</v>
      </c>
      <c r="AJ979" t="s">
        <v>3103</v>
      </c>
      <c r="AK979" t="s">
        <v>3009</v>
      </c>
    </row>
    <row r="980" spans="1:37" x14ac:dyDescent="0.3">
      <c r="A980">
        <v>8010</v>
      </c>
      <c r="B980" s="207">
        <v>46121</v>
      </c>
      <c r="C980" t="s">
        <v>3004</v>
      </c>
      <c r="D980" t="s">
        <v>3104</v>
      </c>
      <c r="E980" t="s">
        <v>3105</v>
      </c>
      <c r="F980" s="207">
        <v>46311</v>
      </c>
      <c r="G980">
        <v>2.4700000000000002</v>
      </c>
      <c r="H980">
        <v>50000000</v>
      </c>
      <c r="I980">
        <v>48659465754</v>
      </c>
      <c r="J980">
        <v>2.8450000000000002</v>
      </c>
      <c r="K980">
        <v>9854</v>
      </c>
      <c r="L980">
        <v>49270000000</v>
      </c>
      <c r="M980">
        <v>15027397</v>
      </c>
      <c r="N980">
        <v>595506849</v>
      </c>
      <c r="O980">
        <v>334972603</v>
      </c>
      <c r="P980">
        <v>260534246</v>
      </c>
      <c r="Q980">
        <v>0</v>
      </c>
      <c r="S980">
        <v>0</v>
      </c>
      <c r="T980">
        <v>83370950</v>
      </c>
      <c r="U980">
        <v>8337090</v>
      </c>
      <c r="V980">
        <v>0.51870000000000005</v>
      </c>
      <c r="W980">
        <v>0.50663333330000004</v>
      </c>
      <c r="X980">
        <v>0.67073333329999996</v>
      </c>
      <c r="Y980" t="s">
        <v>3007</v>
      </c>
      <c r="Z980">
        <v>9855.27</v>
      </c>
      <c r="AA980" t="s">
        <v>3007</v>
      </c>
      <c r="AB980">
        <v>9854.8700000000008</v>
      </c>
      <c r="AC980" t="s">
        <v>3007</v>
      </c>
      <c r="AD980">
        <v>9854.2099999999991</v>
      </c>
      <c r="AE980" t="s">
        <v>3007</v>
      </c>
      <c r="AF980" t="s">
        <v>3066</v>
      </c>
      <c r="AG980" t="s">
        <v>185</v>
      </c>
      <c r="AI980" t="s">
        <v>186</v>
      </c>
      <c r="AJ980" t="s">
        <v>3106</v>
      </c>
      <c r="AK980" t="s">
        <v>3009</v>
      </c>
    </row>
    <row r="981" spans="1:37" x14ac:dyDescent="0.3">
      <c r="A981">
        <v>8010</v>
      </c>
      <c r="B981" s="207">
        <v>46121</v>
      </c>
      <c r="C981" t="s">
        <v>3004</v>
      </c>
      <c r="D981" t="s">
        <v>3107</v>
      </c>
      <c r="E981" t="s">
        <v>3108</v>
      </c>
      <c r="F981" s="207">
        <v>46272</v>
      </c>
      <c r="G981">
        <v>4.09</v>
      </c>
      <c r="H981">
        <v>10000000</v>
      </c>
      <c r="I981">
        <v>10085597223</v>
      </c>
      <c r="J981">
        <v>2.8180000000000001</v>
      </c>
      <c r="K981">
        <v>10089</v>
      </c>
      <c r="L981">
        <v>10089000000</v>
      </c>
      <c r="M981">
        <v>-34385266</v>
      </c>
      <c r="N981">
        <v>37788043</v>
      </c>
      <c r="O981">
        <v>37788043</v>
      </c>
      <c r="P981">
        <v>0</v>
      </c>
      <c r="Q981">
        <v>0</v>
      </c>
      <c r="S981">
        <v>0</v>
      </c>
      <c r="T981">
        <v>5290320</v>
      </c>
      <c r="U981">
        <v>529030</v>
      </c>
      <c r="V981">
        <v>0.40613333330000001</v>
      </c>
      <c r="W981">
        <v>0.40329999999999999</v>
      </c>
      <c r="X981">
        <v>0.2586</v>
      </c>
      <c r="Y981" t="s">
        <v>3007</v>
      </c>
      <c r="Z981">
        <v>10089.299999999999</v>
      </c>
      <c r="AA981" t="s">
        <v>3007</v>
      </c>
      <c r="AB981">
        <v>10089.129999999999</v>
      </c>
      <c r="AC981" t="s">
        <v>3007</v>
      </c>
      <c r="AD981">
        <v>10088.61</v>
      </c>
      <c r="AE981" t="s">
        <v>3007</v>
      </c>
      <c r="AF981" t="s">
        <v>3066</v>
      </c>
      <c r="AG981" t="s">
        <v>185</v>
      </c>
      <c r="AI981" t="s">
        <v>186</v>
      </c>
      <c r="AJ981" t="s">
        <v>3109</v>
      </c>
      <c r="AK981" t="s">
        <v>3009</v>
      </c>
    </row>
    <row r="982" spans="1:37" x14ac:dyDescent="0.3">
      <c r="A982">
        <v>8010</v>
      </c>
      <c r="B982" s="207">
        <v>46121</v>
      </c>
      <c r="C982" t="s">
        <v>3004</v>
      </c>
      <c r="D982" t="s">
        <v>3110</v>
      </c>
      <c r="E982" t="s">
        <v>3111</v>
      </c>
      <c r="F982" s="207">
        <v>46248</v>
      </c>
      <c r="G982">
        <v>3.17</v>
      </c>
      <c r="H982">
        <v>10000000</v>
      </c>
      <c r="I982">
        <v>10021652174</v>
      </c>
      <c r="J982">
        <v>2.8010000000000002</v>
      </c>
      <c r="K982">
        <v>10061</v>
      </c>
      <c r="L982">
        <v>10061000000</v>
      </c>
      <c r="M982">
        <v>-9626893</v>
      </c>
      <c r="N982">
        <v>48974719</v>
      </c>
      <c r="O982">
        <v>48974719</v>
      </c>
      <c r="P982">
        <v>0</v>
      </c>
      <c r="Q982">
        <v>0</v>
      </c>
      <c r="S982">
        <v>0</v>
      </c>
      <c r="T982">
        <v>6856460</v>
      </c>
      <c r="U982">
        <v>685640</v>
      </c>
      <c r="V982">
        <v>0.34463333330000001</v>
      </c>
      <c r="W982">
        <v>0.3422</v>
      </c>
      <c r="X982">
        <v>0.19773333330000001</v>
      </c>
      <c r="Y982" t="s">
        <v>3007</v>
      </c>
      <c r="Z982">
        <v>10061.66</v>
      </c>
      <c r="AA982" t="s">
        <v>3007</v>
      </c>
      <c r="AB982">
        <v>10061.629999999999</v>
      </c>
      <c r="AC982" t="s">
        <v>3007</v>
      </c>
      <c r="AD982">
        <v>10061.18</v>
      </c>
      <c r="AE982" t="s">
        <v>3007</v>
      </c>
      <c r="AF982" t="s">
        <v>3066</v>
      </c>
      <c r="AG982" t="s">
        <v>185</v>
      </c>
      <c r="AI982" t="s">
        <v>3112</v>
      </c>
      <c r="AJ982" t="s">
        <v>3113</v>
      </c>
      <c r="AK982" t="s">
        <v>3009</v>
      </c>
    </row>
    <row r="983" spans="1:37" x14ac:dyDescent="0.3">
      <c r="A983">
        <v>8010</v>
      </c>
      <c r="B983" s="207">
        <v>46121</v>
      </c>
      <c r="C983" t="s">
        <v>3004</v>
      </c>
      <c r="D983" t="s">
        <v>3114</v>
      </c>
      <c r="E983" t="s">
        <v>3115</v>
      </c>
      <c r="F983" s="207">
        <v>46312</v>
      </c>
      <c r="G983">
        <v>2.48</v>
      </c>
      <c r="H983">
        <v>10000000</v>
      </c>
      <c r="I983">
        <v>9731361644</v>
      </c>
      <c r="J983">
        <v>2.8460000000000001</v>
      </c>
      <c r="K983">
        <v>9853</v>
      </c>
      <c r="L983">
        <v>9853000000</v>
      </c>
      <c r="M983">
        <v>2734247</v>
      </c>
      <c r="N983">
        <v>118904109</v>
      </c>
      <c r="O983">
        <v>67265753</v>
      </c>
      <c r="P983">
        <v>51638356</v>
      </c>
      <c r="Q983">
        <v>0</v>
      </c>
      <c r="S983">
        <v>0</v>
      </c>
      <c r="T983">
        <v>16646570</v>
      </c>
      <c r="U983">
        <v>1664650</v>
      </c>
      <c r="V983">
        <v>0.52143333329999997</v>
      </c>
      <c r="W983">
        <v>0.50933333329999997</v>
      </c>
      <c r="X983">
        <v>0.67600000000000005</v>
      </c>
      <c r="Y983" t="s">
        <v>3007</v>
      </c>
      <c r="Z983">
        <v>9854.4599999999991</v>
      </c>
      <c r="AA983" t="s">
        <v>3007</v>
      </c>
      <c r="AB983">
        <v>9854.06</v>
      </c>
      <c r="AC983" t="s">
        <v>3007</v>
      </c>
      <c r="AD983">
        <v>9853.4</v>
      </c>
      <c r="AE983" t="s">
        <v>3007</v>
      </c>
      <c r="AF983" t="s">
        <v>3066</v>
      </c>
      <c r="AG983" t="s">
        <v>185</v>
      </c>
      <c r="AI983" t="s">
        <v>186</v>
      </c>
      <c r="AJ983" t="s">
        <v>3116</v>
      </c>
      <c r="AK983" t="s">
        <v>3009</v>
      </c>
    </row>
    <row r="984" spans="1:37" x14ac:dyDescent="0.3">
      <c r="A984">
        <v>8010</v>
      </c>
      <c r="B984" s="207">
        <v>46121</v>
      </c>
      <c r="C984" t="s">
        <v>3004</v>
      </c>
      <c r="D984" t="s">
        <v>3117</v>
      </c>
      <c r="E984" t="s">
        <v>3118</v>
      </c>
      <c r="F984" s="207">
        <v>46190</v>
      </c>
      <c r="G984">
        <v>3.37</v>
      </c>
      <c r="H984">
        <v>10000000</v>
      </c>
      <c r="I984">
        <v>10024958334</v>
      </c>
      <c r="J984">
        <v>2.7589999999999999</v>
      </c>
      <c r="K984">
        <v>10033</v>
      </c>
      <c r="L984">
        <v>10033000000</v>
      </c>
      <c r="M984">
        <v>-13936594</v>
      </c>
      <c r="N984">
        <v>21978260</v>
      </c>
      <c r="O984">
        <v>21978260</v>
      </c>
      <c r="P984">
        <v>0</v>
      </c>
      <c r="Q984">
        <v>0</v>
      </c>
      <c r="S984">
        <v>0</v>
      </c>
      <c r="T984">
        <v>3076950</v>
      </c>
      <c r="U984">
        <v>307690</v>
      </c>
      <c r="V984">
        <v>0.18579999999999999</v>
      </c>
      <c r="W984">
        <v>0.1845</v>
      </c>
      <c r="X984">
        <v>7.5899999999999995E-2</v>
      </c>
      <c r="Y984" t="s">
        <v>3007</v>
      </c>
      <c r="Z984">
        <v>10033.280000000001</v>
      </c>
      <c r="AA984" t="s">
        <v>3007</v>
      </c>
      <c r="AB984">
        <v>10033.08</v>
      </c>
      <c r="AC984" t="s">
        <v>3007</v>
      </c>
      <c r="AD984">
        <v>10032.91</v>
      </c>
      <c r="AE984" t="s">
        <v>3007</v>
      </c>
      <c r="AF984" t="s">
        <v>3066</v>
      </c>
      <c r="AG984" t="s">
        <v>185</v>
      </c>
      <c r="AI984" t="s">
        <v>186</v>
      </c>
      <c r="AJ984" t="s">
        <v>3119</v>
      </c>
      <c r="AK984" t="s">
        <v>3009</v>
      </c>
    </row>
    <row r="985" spans="1:37" x14ac:dyDescent="0.3">
      <c r="A985">
        <v>8010</v>
      </c>
      <c r="B985" s="207">
        <v>46121</v>
      </c>
      <c r="C985" t="s">
        <v>3004</v>
      </c>
      <c r="D985" t="s">
        <v>3120</v>
      </c>
      <c r="E985" t="s">
        <v>3121</v>
      </c>
      <c r="F985" s="207">
        <v>46232</v>
      </c>
      <c r="G985">
        <v>3.19</v>
      </c>
      <c r="H985">
        <v>10000000</v>
      </c>
      <c r="I985">
        <v>10021521740</v>
      </c>
      <c r="J985">
        <v>2.7879999999999998</v>
      </c>
      <c r="K985">
        <v>10074</v>
      </c>
      <c r="L985">
        <v>10074000000</v>
      </c>
      <c r="M985">
        <v>-10435628</v>
      </c>
      <c r="N985">
        <v>62913888</v>
      </c>
      <c r="O985">
        <v>62913888</v>
      </c>
      <c r="P985">
        <v>0</v>
      </c>
      <c r="Q985">
        <v>0</v>
      </c>
      <c r="S985">
        <v>0</v>
      </c>
      <c r="T985">
        <v>8807940</v>
      </c>
      <c r="U985">
        <v>880790</v>
      </c>
      <c r="V985">
        <v>0.30183333330000001</v>
      </c>
      <c r="W985">
        <v>0.29973333330000002</v>
      </c>
      <c r="X985">
        <v>0.1613</v>
      </c>
      <c r="Y985" t="s">
        <v>3007</v>
      </c>
      <c r="Z985">
        <v>10075.08</v>
      </c>
      <c r="AA985" t="s">
        <v>3007</v>
      </c>
      <c r="AB985">
        <v>10074.99</v>
      </c>
      <c r="AC985" t="s">
        <v>3007</v>
      </c>
      <c r="AD985">
        <v>10074.6</v>
      </c>
      <c r="AE985" t="s">
        <v>3007</v>
      </c>
      <c r="AF985" t="s">
        <v>3066</v>
      </c>
      <c r="AG985" t="s">
        <v>185</v>
      </c>
      <c r="AI985" t="s">
        <v>186</v>
      </c>
      <c r="AJ985" t="s">
        <v>3122</v>
      </c>
      <c r="AK985" t="s">
        <v>3009</v>
      </c>
    </row>
    <row r="986" spans="1:37" x14ac:dyDescent="0.3">
      <c r="A986">
        <v>8010</v>
      </c>
      <c r="B986" s="207">
        <v>46121</v>
      </c>
      <c r="C986" t="s">
        <v>3004</v>
      </c>
      <c r="D986" t="s">
        <v>3123</v>
      </c>
      <c r="E986" t="s">
        <v>3124</v>
      </c>
      <c r="F986" s="207">
        <v>46374</v>
      </c>
      <c r="G986">
        <v>2.91</v>
      </c>
      <c r="H986">
        <v>50000000</v>
      </c>
      <c r="I986">
        <v>50053416667</v>
      </c>
      <c r="J986">
        <v>2.8929999999999998</v>
      </c>
      <c r="K986">
        <v>10019</v>
      </c>
      <c r="L986">
        <v>50095000000</v>
      </c>
      <c r="M986">
        <v>-49354167</v>
      </c>
      <c r="N986">
        <v>90937500</v>
      </c>
      <c r="O986">
        <v>90937500</v>
      </c>
      <c r="P986">
        <v>0</v>
      </c>
      <c r="Q986">
        <v>0</v>
      </c>
      <c r="S986">
        <v>0</v>
      </c>
      <c r="T986">
        <v>12731250</v>
      </c>
      <c r="U986">
        <v>1273120</v>
      </c>
      <c r="V986">
        <v>0.68310000000000004</v>
      </c>
      <c r="W986">
        <v>0.67820000000000003</v>
      </c>
      <c r="X986">
        <v>0.62666666660000003</v>
      </c>
      <c r="Y986" t="s">
        <v>3007</v>
      </c>
      <c r="Z986">
        <v>10019.370000000001</v>
      </c>
      <c r="AA986" t="s">
        <v>3007</v>
      </c>
      <c r="AB986">
        <v>10019.44</v>
      </c>
      <c r="AC986" t="s">
        <v>3007</v>
      </c>
      <c r="AD986">
        <v>10018.83</v>
      </c>
      <c r="AE986" t="s">
        <v>3007</v>
      </c>
      <c r="AF986" t="s">
        <v>3066</v>
      </c>
      <c r="AG986" t="s">
        <v>185</v>
      </c>
      <c r="AI986" t="s">
        <v>186</v>
      </c>
      <c r="AJ986" t="s">
        <v>3125</v>
      </c>
      <c r="AK986" t="s">
        <v>3009</v>
      </c>
    </row>
    <row r="987" spans="1:37" x14ac:dyDescent="0.3">
      <c r="A987">
        <v>8010</v>
      </c>
      <c r="B987" s="207">
        <v>46121</v>
      </c>
      <c r="C987" t="s">
        <v>3004</v>
      </c>
      <c r="D987" t="s">
        <v>3126</v>
      </c>
      <c r="E987" t="s">
        <v>3127</v>
      </c>
      <c r="F987" s="207">
        <v>46270</v>
      </c>
      <c r="G987">
        <v>3.19</v>
      </c>
      <c r="H987">
        <v>20000000</v>
      </c>
      <c r="I987">
        <v>20050150000</v>
      </c>
      <c r="J987">
        <v>2.8159999999999998</v>
      </c>
      <c r="K987">
        <v>10045</v>
      </c>
      <c r="L987">
        <v>20090000000</v>
      </c>
      <c r="M987">
        <v>-22563043</v>
      </c>
      <c r="N987">
        <v>62413043</v>
      </c>
      <c r="O987">
        <v>62413043</v>
      </c>
      <c r="P987">
        <v>0</v>
      </c>
      <c r="Q987">
        <v>0</v>
      </c>
      <c r="S987">
        <v>0</v>
      </c>
      <c r="T987">
        <v>8737820</v>
      </c>
      <c r="U987">
        <v>873780</v>
      </c>
      <c r="V987">
        <v>0.40123333329999999</v>
      </c>
      <c r="W987">
        <v>0.39843333330000003</v>
      </c>
      <c r="X987">
        <v>0.25326666660000002</v>
      </c>
      <c r="Y987" t="s">
        <v>3007</v>
      </c>
      <c r="Z987">
        <v>10046.26</v>
      </c>
      <c r="AA987" t="s">
        <v>3007</v>
      </c>
      <c r="AB987">
        <v>10046.1</v>
      </c>
      <c r="AC987" t="s">
        <v>3007</v>
      </c>
      <c r="AD987">
        <v>10045.540000000001</v>
      </c>
      <c r="AE987" t="s">
        <v>3007</v>
      </c>
      <c r="AF987" t="s">
        <v>3066</v>
      </c>
      <c r="AG987" t="s">
        <v>185</v>
      </c>
      <c r="AI987" t="s">
        <v>186</v>
      </c>
      <c r="AJ987" t="s">
        <v>3128</v>
      </c>
      <c r="AK987" t="s">
        <v>3009</v>
      </c>
    </row>
    <row r="988" spans="1:37" x14ac:dyDescent="0.3">
      <c r="A988">
        <v>8010</v>
      </c>
      <c r="B988" s="207">
        <v>46121</v>
      </c>
      <c r="C988" t="s">
        <v>3004</v>
      </c>
      <c r="D988" t="s">
        <v>3129</v>
      </c>
      <c r="E988" t="s">
        <v>3130</v>
      </c>
      <c r="F988" s="207">
        <v>46313</v>
      </c>
      <c r="G988">
        <v>3.11</v>
      </c>
      <c r="H988">
        <v>10000000</v>
      </c>
      <c r="I988">
        <v>10024616848</v>
      </c>
      <c r="J988">
        <v>2.8479999999999999</v>
      </c>
      <c r="K988">
        <v>10084</v>
      </c>
      <c r="L988">
        <v>10084000000</v>
      </c>
      <c r="M988">
        <v>-11455736</v>
      </c>
      <c r="N988">
        <v>70838888</v>
      </c>
      <c r="O988">
        <v>70838888</v>
      </c>
      <c r="P988">
        <v>0</v>
      </c>
      <c r="Q988">
        <v>0</v>
      </c>
      <c r="S988">
        <v>0</v>
      </c>
      <c r="T988">
        <v>9917440</v>
      </c>
      <c r="U988">
        <v>991740</v>
      </c>
      <c r="V988">
        <v>0.51743333329999996</v>
      </c>
      <c r="W988">
        <v>0.51380000000000003</v>
      </c>
      <c r="X988">
        <v>0.39216666659999999</v>
      </c>
      <c r="Y988" t="s">
        <v>3007</v>
      </c>
      <c r="Z988">
        <v>10084.629999999999</v>
      </c>
      <c r="AA988" t="s">
        <v>3007</v>
      </c>
      <c r="AB988">
        <v>10084.48</v>
      </c>
      <c r="AC988" t="s">
        <v>3007</v>
      </c>
      <c r="AD988">
        <v>10083.81</v>
      </c>
      <c r="AE988" t="s">
        <v>3007</v>
      </c>
      <c r="AF988" t="s">
        <v>3066</v>
      </c>
      <c r="AG988" t="s">
        <v>185</v>
      </c>
      <c r="AI988" t="s">
        <v>186</v>
      </c>
      <c r="AJ988" t="s">
        <v>3131</v>
      </c>
      <c r="AK988" t="s">
        <v>3009</v>
      </c>
    </row>
    <row r="989" spans="1:37" x14ac:dyDescent="0.3">
      <c r="A989">
        <v>8010</v>
      </c>
      <c r="B989" s="207">
        <v>46121</v>
      </c>
      <c r="C989" t="s">
        <v>3004</v>
      </c>
      <c r="D989" t="s">
        <v>3132</v>
      </c>
      <c r="E989" t="s">
        <v>3133</v>
      </c>
      <c r="F989" s="207">
        <v>46338</v>
      </c>
      <c r="G989">
        <v>3.15</v>
      </c>
      <c r="H989">
        <v>40000000</v>
      </c>
      <c r="I989">
        <v>40120804348</v>
      </c>
      <c r="J989">
        <v>2.867</v>
      </c>
      <c r="K989">
        <v>10066</v>
      </c>
      <c r="L989">
        <v>40264000000</v>
      </c>
      <c r="M989">
        <v>-58545920</v>
      </c>
      <c r="N989">
        <v>201741572</v>
      </c>
      <c r="O989">
        <v>201741572</v>
      </c>
      <c r="P989">
        <v>0</v>
      </c>
      <c r="Q989">
        <v>0</v>
      </c>
      <c r="S989">
        <v>0</v>
      </c>
      <c r="T989">
        <v>28243810</v>
      </c>
      <c r="U989">
        <v>2824370</v>
      </c>
      <c r="V989">
        <v>0.58513333329999995</v>
      </c>
      <c r="W989">
        <v>0.58096666659999996</v>
      </c>
      <c r="X989">
        <v>0.47936666659999999</v>
      </c>
      <c r="Y989" t="s">
        <v>3007</v>
      </c>
      <c r="Z989">
        <v>10066.98</v>
      </c>
      <c r="AA989" t="s">
        <v>3007</v>
      </c>
      <c r="AB989">
        <v>10067.040000000001</v>
      </c>
      <c r="AC989" t="s">
        <v>3007</v>
      </c>
      <c r="AD989">
        <v>10066.33</v>
      </c>
      <c r="AE989" t="s">
        <v>3007</v>
      </c>
      <c r="AF989" t="s">
        <v>3066</v>
      </c>
      <c r="AG989" t="s">
        <v>185</v>
      </c>
      <c r="AI989" t="s">
        <v>186</v>
      </c>
      <c r="AJ989" t="s">
        <v>3134</v>
      </c>
      <c r="AK989" t="s">
        <v>3009</v>
      </c>
    </row>
    <row r="990" spans="1:37" x14ac:dyDescent="0.3">
      <c r="A990">
        <v>8010</v>
      </c>
      <c r="B990" s="207">
        <v>46121</v>
      </c>
      <c r="C990" t="s">
        <v>3004</v>
      </c>
      <c r="D990" t="s">
        <v>3135</v>
      </c>
      <c r="E990" t="s">
        <v>3136</v>
      </c>
      <c r="F990" s="207">
        <v>46345</v>
      </c>
      <c r="G990">
        <v>3.17</v>
      </c>
      <c r="H990">
        <v>10000000</v>
      </c>
      <c r="I990">
        <v>10031959240</v>
      </c>
      <c r="J990">
        <v>2.8719999999999999</v>
      </c>
      <c r="K990">
        <v>10062</v>
      </c>
      <c r="L990">
        <v>10062000000</v>
      </c>
      <c r="M990">
        <v>-14481711</v>
      </c>
      <c r="N990">
        <v>44522471</v>
      </c>
      <c r="O990">
        <v>44522471</v>
      </c>
      <c r="P990">
        <v>0</v>
      </c>
      <c r="Q990">
        <v>0</v>
      </c>
      <c r="S990">
        <v>0</v>
      </c>
      <c r="T990">
        <v>6233140</v>
      </c>
      <c r="U990">
        <v>623310</v>
      </c>
      <c r="V990">
        <v>0.6047666666</v>
      </c>
      <c r="W990">
        <v>0.60046666660000003</v>
      </c>
      <c r="X990">
        <v>0.50693333330000001</v>
      </c>
      <c r="Y990" t="s">
        <v>3007</v>
      </c>
      <c r="Z990">
        <v>10062.51</v>
      </c>
      <c r="AA990" t="s">
        <v>3007</v>
      </c>
      <c r="AB990">
        <v>10062.51</v>
      </c>
      <c r="AC990" t="s">
        <v>3007</v>
      </c>
      <c r="AD990">
        <v>10061.84</v>
      </c>
      <c r="AE990" t="s">
        <v>3007</v>
      </c>
      <c r="AF990" t="s">
        <v>3066</v>
      </c>
      <c r="AG990" t="s">
        <v>185</v>
      </c>
      <c r="AI990" t="s">
        <v>186</v>
      </c>
      <c r="AJ990" t="s">
        <v>3137</v>
      </c>
      <c r="AK990" t="s">
        <v>3009</v>
      </c>
    </row>
    <row r="991" spans="1:37" x14ac:dyDescent="0.3">
      <c r="A991">
        <v>8010</v>
      </c>
      <c r="B991" s="207">
        <v>46121</v>
      </c>
      <c r="C991" t="s">
        <v>3004</v>
      </c>
      <c r="D991" t="s">
        <v>3138</v>
      </c>
      <c r="E991" t="s">
        <v>3139</v>
      </c>
      <c r="F991" s="207">
        <v>46161</v>
      </c>
      <c r="G991">
        <v>3.18</v>
      </c>
      <c r="H991">
        <v>10000000</v>
      </c>
      <c r="I991">
        <v>10013842392</v>
      </c>
      <c r="J991">
        <v>2.7440000000000002</v>
      </c>
      <c r="K991">
        <v>10049</v>
      </c>
      <c r="L991">
        <v>10049000000</v>
      </c>
      <c r="M991">
        <v>-9505313</v>
      </c>
      <c r="N991">
        <v>44662921</v>
      </c>
      <c r="O991">
        <v>44662921</v>
      </c>
      <c r="P991">
        <v>0</v>
      </c>
      <c r="Q991">
        <v>0</v>
      </c>
      <c r="S991">
        <v>0</v>
      </c>
      <c r="T991">
        <v>6252800</v>
      </c>
      <c r="U991">
        <v>625280</v>
      </c>
      <c r="V991">
        <v>0.1106666666</v>
      </c>
      <c r="W991">
        <v>0.1098666666</v>
      </c>
      <c r="X991">
        <v>3.4333333299999998E-2</v>
      </c>
      <c r="Y991" t="s">
        <v>3007</v>
      </c>
      <c r="Z991">
        <v>10049.41</v>
      </c>
      <c r="AA991" t="s">
        <v>3007</v>
      </c>
      <c r="AB991">
        <v>10049.25</v>
      </c>
      <c r="AC991" t="s">
        <v>3007</v>
      </c>
      <c r="AD991">
        <v>10049.200000000001</v>
      </c>
      <c r="AE991" t="s">
        <v>3007</v>
      </c>
      <c r="AF991" t="s">
        <v>3066</v>
      </c>
      <c r="AG991" t="s">
        <v>185</v>
      </c>
      <c r="AI991" t="s">
        <v>186</v>
      </c>
      <c r="AJ991" t="s">
        <v>3140</v>
      </c>
      <c r="AK991" t="s">
        <v>3009</v>
      </c>
    </row>
    <row r="992" spans="1:37" x14ac:dyDescent="0.3">
      <c r="A992">
        <v>8010</v>
      </c>
      <c r="B992" s="207">
        <v>46121</v>
      </c>
      <c r="C992" t="s">
        <v>3004</v>
      </c>
      <c r="D992" t="s">
        <v>3141</v>
      </c>
      <c r="E992" t="s">
        <v>3142</v>
      </c>
      <c r="F992" s="207">
        <v>46164</v>
      </c>
      <c r="G992">
        <v>3.14</v>
      </c>
      <c r="H992">
        <v>10000000</v>
      </c>
      <c r="I992">
        <v>10012869566</v>
      </c>
      <c r="J992">
        <v>2.7450000000000001</v>
      </c>
      <c r="K992">
        <v>10045</v>
      </c>
      <c r="L992">
        <v>10045000000</v>
      </c>
      <c r="M992">
        <v>-9324622</v>
      </c>
      <c r="N992">
        <v>41455056</v>
      </c>
      <c r="O992">
        <v>41455056</v>
      </c>
      <c r="P992">
        <v>0</v>
      </c>
      <c r="Q992">
        <v>0</v>
      </c>
      <c r="S992">
        <v>0</v>
      </c>
      <c r="T992">
        <v>5803700</v>
      </c>
      <c r="U992">
        <v>580370</v>
      </c>
      <c r="V992">
        <v>0.1190666666</v>
      </c>
      <c r="W992">
        <v>0.1182666666</v>
      </c>
      <c r="X992">
        <v>3.8233333299999998E-2</v>
      </c>
      <c r="Y992" t="s">
        <v>3007</v>
      </c>
      <c r="Z992">
        <v>10046.08</v>
      </c>
      <c r="AA992" t="s">
        <v>3007</v>
      </c>
      <c r="AB992">
        <v>10045.93</v>
      </c>
      <c r="AC992" t="s">
        <v>3007</v>
      </c>
      <c r="AD992">
        <v>10045.85</v>
      </c>
      <c r="AE992" t="s">
        <v>3007</v>
      </c>
      <c r="AF992" t="s">
        <v>3066</v>
      </c>
      <c r="AG992" t="s">
        <v>185</v>
      </c>
      <c r="AI992" t="s">
        <v>186</v>
      </c>
      <c r="AJ992" t="s">
        <v>3143</v>
      </c>
      <c r="AK992" t="s">
        <v>3009</v>
      </c>
    </row>
    <row r="993" spans="1:37" x14ac:dyDescent="0.3">
      <c r="A993">
        <v>8010</v>
      </c>
      <c r="B993" s="207">
        <v>46121</v>
      </c>
      <c r="C993" t="s">
        <v>3004</v>
      </c>
      <c r="D993" t="s">
        <v>3144</v>
      </c>
      <c r="E993" t="s">
        <v>3145</v>
      </c>
      <c r="F993" s="207">
        <v>46351</v>
      </c>
      <c r="G993">
        <v>3.09</v>
      </c>
      <c r="H993">
        <v>30000000</v>
      </c>
      <c r="I993">
        <v>30077796197</v>
      </c>
      <c r="J993">
        <v>2.8769999999999998</v>
      </c>
      <c r="K993">
        <v>10051</v>
      </c>
      <c r="L993">
        <v>30153000000</v>
      </c>
      <c r="M993">
        <v>-39369230</v>
      </c>
      <c r="N993">
        <v>114573033</v>
      </c>
      <c r="O993">
        <v>114573033</v>
      </c>
      <c r="P993">
        <v>0</v>
      </c>
      <c r="Q993">
        <v>0</v>
      </c>
      <c r="S993">
        <v>0</v>
      </c>
      <c r="T993">
        <v>16040220</v>
      </c>
      <c r="U993">
        <v>1604010</v>
      </c>
      <c r="V993">
        <v>0.62176666660000002</v>
      </c>
      <c r="W993">
        <v>0.61729999999999996</v>
      </c>
      <c r="X993">
        <v>0.53149999999999997</v>
      </c>
      <c r="Y993" t="s">
        <v>3007</v>
      </c>
      <c r="Z993">
        <v>10051.41</v>
      </c>
      <c r="AA993" t="s">
        <v>3007</v>
      </c>
      <c r="AB993">
        <v>10051.48</v>
      </c>
      <c r="AC993" t="s">
        <v>3007</v>
      </c>
      <c r="AD993">
        <v>10050.790000000001</v>
      </c>
      <c r="AE993" t="s">
        <v>3007</v>
      </c>
      <c r="AF993" t="s">
        <v>3066</v>
      </c>
      <c r="AG993" t="s">
        <v>185</v>
      </c>
      <c r="AI993" t="s">
        <v>186</v>
      </c>
      <c r="AJ993" t="s">
        <v>3146</v>
      </c>
      <c r="AK993" t="s">
        <v>3009</v>
      </c>
    </row>
    <row r="994" spans="1:37" x14ac:dyDescent="0.3">
      <c r="A994">
        <v>8010</v>
      </c>
      <c r="B994" s="207">
        <v>46121</v>
      </c>
      <c r="C994" t="s">
        <v>3066</v>
      </c>
      <c r="D994" t="s">
        <v>3147</v>
      </c>
      <c r="E994" t="s">
        <v>3148</v>
      </c>
      <c r="F994" s="207">
        <v>46325</v>
      </c>
      <c r="G994">
        <v>3.2650000000000001</v>
      </c>
      <c r="H994">
        <v>10000000</v>
      </c>
      <c r="I994">
        <v>10030490385</v>
      </c>
      <c r="J994">
        <v>2.899</v>
      </c>
      <c r="K994">
        <v>10165</v>
      </c>
      <c r="L994">
        <v>10165000000</v>
      </c>
      <c r="M994">
        <v>-10800824</v>
      </c>
      <c r="N994">
        <v>145310439</v>
      </c>
      <c r="O994">
        <v>88800824</v>
      </c>
      <c r="P994">
        <v>56509615</v>
      </c>
      <c r="Q994">
        <v>0</v>
      </c>
      <c r="S994">
        <v>0</v>
      </c>
      <c r="T994">
        <v>20343460</v>
      </c>
      <c r="U994">
        <v>2034340</v>
      </c>
      <c r="V994">
        <v>0.54806666660000003</v>
      </c>
      <c r="W994">
        <v>0.54023333330000001</v>
      </c>
      <c r="X994">
        <v>0.55396666660000005</v>
      </c>
      <c r="Y994" t="s">
        <v>3007</v>
      </c>
      <c r="Z994">
        <v>10165.48</v>
      </c>
      <c r="AA994" t="s">
        <v>3007</v>
      </c>
      <c r="AB994">
        <v>10164.709999999999</v>
      </c>
      <c r="AC994" t="s">
        <v>3007</v>
      </c>
      <c r="AD994">
        <v>10164.98</v>
      </c>
      <c r="AE994" t="s">
        <v>3007</v>
      </c>
      <c r="AF994" t="s">
        <v>3066</v>
      </c>
      <c r="AG994" t="s">
        <v>185</v>
      </c>
      <c r="AI994" t="s">
        <v>186</v>
      </c>
      <c r="AJ994" t="s">
        <v>3149</v>
      </c>
      <c r="AK994" t="s">
        <v>3009</v>
      </c>
    </row>
    <row r="995" spans="1:37" x14ac:dyDescent="0.3">
      <c r="A995">
        <v>8010</v>
      </c>
      <c r="B995" s="207">
        <v>46121</v>
      </c>
      <c r="C995" t="s">
        <v>3004</v>
      </c>
      <c r="D995" t="s">
        <v>3150</v>
      </c>
      <c r="E995" t="s">
        <v>3151</v>
      </c>
      <c r="F995" s="207">
        <v>46210</v>
      </c>
      <c r="G995">
        <v>4.05</v>
      </c>
      <c r="H995">
        <v>10000000</v>
      </c>
      <c r="I995">
        <v>10063400000</v>
      </c>
      <c r="J995">
        <v>2.7730000000000001</v>
      </c>
      <c r="K995">
        <v>10033</v>
      </c>
      <c r="L995">
        <v>10033000000</v>
      </c>
      <c r="M995">
        <v>-33736263</v>
      </c>
      <c r="N995">
        <v>3336263</v>
      </c>
      <c r="O995">
        <v>3336263</v>
      </c>
      <c r="P995">
        <v>0</v>
      </c>
      <c r="Q995">
        <v>0</v>
      </c>
      <c r="S995">
        <v>0</v>
      </c>
      <c r="T995">
        <v>467070</v>
      </c>
      <c r="U995">
        <v>46700</v>
      </c>
      <c r="V995">
        <v>0.2427</v>
      </c>
      <c r="W995">
        <v>0.24103333330000001</v>
      </c>
      <c r="X995">
        <v>0.1173</v>
      </c>
      <c r="Y995" t="s">
        <v>3007</v>
      </c>
      <c r="Z995">
        <v>10034.07</v>
      </c>
      <c r="AA995" t="s">
        <v>3007</v>
      </c>
      <c r="AB995">
        <v>10034.07</v>
      </c>
      <c r="AC995" t="s">
        <v>3007</v>
      </c>
      <c r="AD995">
        <v>10033.780000000001</v>
      </c>
      <c r="AE995" t="s">
        <v>3007</v>
      </c>
      <c r="AF995" t="s">
        <v>3066</v>
      </c>
      <c r="AG995" t="s">
        <v>185</v>
      </c>
      <c r="AI995" t="s">
        <v>186</v>
      </c>
      <c r="AJ995" t="s">
        <v>3152</v>
      </c>
      <c r="AK995" t="s">
        <v>3009</v>
      </c>
    </row>
    <row r="996" spans="1:37" x14ac:dyDescent="0.3">
      <c r="A996">
        <v>8010</v>
      </c>
      <c r="B996" s="207">
        <v>46121</v>
      </c>
      <c r="C996" t="s">
        <v>3004</v>
      </c>
      <c r="D996" t="s">
        <v>3153</v>
      </c>
      <c r="E996" t="s">
        <v>3154</v>
      </c>
      <c r="F996" s="207">
        <v>46339</v>
      </c>
      <c r="G996">
        <v>3.18</v>
      </c>
      <c r="H996">
        <v>30000000</v>
      </c>
      <c r="I996">
        <v>30097972827</v>
      </c>
      <c r="J996">
        <v>2.8679999999999999</v>
      </c>
      <c r="K996">
        <v>10068</v>
      </c>
      <c r="L996">
        <v>30204000000</v>
      </c>
      <c r="M996">
        <v>-44040241</v>
      </c>
      <c r="N996">
        <v>150067414</v>
      </c>
      <c r="O996">
        <v>150067414</v>
      </c>
      <c r="P996">
        <v>0</v>
      </c>
      <c r="Q996">
        <v>0</v>
      </c>
      <c r="S996">
        <v>0</v>
      </c>
      <c r="T996">
        <v>21009430</v>
      </c>
      <c r="U996">
        <v>2100930</v>
      </c>
      <c r="V996">
        <v>0.58786666659999998</v>
      </c>
      <c r="W996">
        <v>0.58366666659999999</v>
      </c>
      <c r="X996">
        <v>0.48316666660000002</v>
      </c>
      <c r="Y996" t="s">
        <v>3007</v>
      </c>
      <c r="Z996">
        <v>10068.280000000001</v>
      </c>
      <c r="AA996" t="s">
        <v>3007</v>
      </c>
      <c r="AB996">
        <v>10068.4</v>
      </c>
      <c r="AC996" t="s">
        <v>3007</v>
      </c>
      <c r="AD996">
        <v>10067.69</v>
      </c>
      <c r="AE996" t="s">
        <v>3007</v>
      </c>
      <c r="AF996" t="s">
        <v>3066</v>
      </c>
      <c r="AG996" t="s">
        <v>185</v>
      </c>
      <c r="AI996" t="s">
        <v>186</v>
      </c>
      <c r="AJ996" t="s">
        <v>3155</v>
      </c>
      <c r="AK996" t="s">
        <v>3009</v>
      </c>
    </row>
    <row r="997" spans="1:37" x14ac:dyDescent="0.3">
      <c r="A997">
        <v>8010</v>
      </c>
      <c r="B997" s="207">
        <v>46121</v>
      </c>
      <c r="C997" t="s">
        <v>3004</v>
      </c>
      <c r="D997" t="s">
        <v>3156</v>
      </c>
      <c r="E997" t="s">
        <v>3157</v>
      </c>
      <c r="F997" s="207">
        <v>46311</v>
      </c>
      <c r="G997">
        <v>3.1</v>
      </c>
      <c r="H997">
        <v>10000000</v>
      </c>
      <c r="I997">
        <v>10023135870</v>
      </c>
      <c r="J997">
        <v>2.8460000000000001</v>
      </c>
      <c r="K997">
        <v>10085</v>
      </c>
      <c r="L997">
        <v>10085000000</v>
      </c>
      <c r="M997">
        <v>-10469203</v>
      </c>
      <c r="N997">
        <v>72333333</v>
      </c>
      <c r="O997">
        <v>72333333</v>
      </c>
      <c r="P997">
        <v>0</v>
      </c>
      <c r="Q997">
        <v>0</v>
      </c>
      <c r="S997">
        <v>0</v>
      </c>
      <c r="T997">
        <v>10126660</v>
      </c>
      <c r="U997">
        <v>1012660</v>
      </c>
      <c r="V997">
        <v>0.51186666660000002</v>
      </c>
      <c r="W997">
        <v>0.50826666659999997</v>
      </c>
      <c r="X997">
        <v>0.3855333333</v>
      </c>
      <c r="Y997" t="s">
        <v>3007</v>
      </c>
      <c r="Z997">
        <v>10085.69</v>
      </c>
      <c r="AA997" t="s">
        <v>3007</v>
      </c>
      <c r="AB997">
        <v>10085.379999999999</v>
      </c>
      <c r="AC997" t="s">
        <v>3007</v>
      </c>
      <c r="AD997">
        <v>10084.709999999999</v>
      </c>
      <c r="AE997" t="s">
        <v>3007</v>
      </c>
      <c r="AF997" t="s">
        <v>3066</v>
      </c>
      <c r="AG997" t="s">
        <v>185</v>
      </c>
      <c r="AI997" t="s">
        <v>186</v>
      </c>
      <c r="AJ997" t="s">
        <v>3158</v>
      </c>
      <c r="AK997" t="s">
        <v>3009</v>
      </c>
    </row>
    <row r="998" spans="1:37" x14ac:dyDescent="0.3">
      <c r="A998">
        <v>8010</v>
      </c>
      <c r="B998" s="207">
        <v>46121</v>
      </c>
      <c r="C998" t="s">
        <v>3004</v>
      </c>
      <c r="D998" t="s">
        <v>3159</v>
      </c>
      <c r="E998" t="s">
        <v>3160</v>
      </c>
      <c r="F998" s="207">
        <v>46340</v>
      </c>
      <c r="G998">
        <v>3.25</v>
      </c>
      <c r="H998">
        <v>10000000</v>
      </c>
      <c r="I998">
        <v>10035608696</v>
      </c>
      <c r="J998">
        <v>2.8959999999999999</v>
      </c>
      <c r="K998">
        <v>10070</v>
      </c>
      <c r="L998">
        <v>10070000000</v>
      </c>
      <c r="M998">
        <v>-15819370</v>
      </c>
      <c r="N998">
        <v>50210674</v>
      </c>
      <c r="O998">
        <v>50210674</v>
      </c>
      <c r="P998">
        <v>0</v>
      </c>
      <c r="Q998">
        <v>0</v>
      </c>
      <c r="S998">
        <v>0</v>
      </c>
      <c r="T998">
        <v>7029490</v>
      </c>
      <c r="U998">
        <v>702940</v>
      </c>
      <c r="V998">
        <v>0.59056666660000001</v>
      </c>
      <c r="W998">
        <v>0.58630000000000004</v>
      </c>
      <c r="X998">
        <v>0.4869</v>
      </c>
      <c r="Y998" t="s">
        <v>3007</v>
      </c>
      <c r="Z998">
        <v>10071.19</v>
      </c>
      <c r="AA998" t="s">
        <v>3007</v>
      </c>
      <c r="AB998">
        <v>10071.02</v>
      </c>
      <c r="AC998" t="s">
        <v>3007</v>
      </c>
      <c r="AD998">
        <v>10070.43</v>
      </c>
      <c r="AE998" t="s">
        <v>3007</v>
      </c>
      <c r="AF998" t="s">
        <v>3004</v>
      </c>
      <c r="AG998" t="s">
        <v>185</v>
      </c>
      <c r="AI998" t="s">
        <v>186</v>
      </c>
      <c r="AJ998" t="s">
        <v>3161</v>
      </c>
      <c r="AK998" t="s">
        <v>3009</v>
      </c>
    </row>
    <row r="999" spans="1:37" x14ac:dyDescent="0.3">
      <c r="A999">
        <v>8010</v>
      </c>
      <c r="B999" s="207">
        <v>46121</v>
      </c>
      <c r="C999" t="s">
        <v>3004</v>
      </c>
      <c r="D999" t="s">
        <v>3162</v>
      </c>
      <c r="E999" t="s">
        <v>3163</v>
      </c>
      <c r="F999" s="207">
        <v>46312</v>
      </c>
      <c r="G999">
        <v>4.49</v>
      </c>
      <c r="H999">
        <v>10000000</v>
      </c>
      <c r="I999">
        <v>10129271740</v>
      </c>
      <c r="J999">
        <v>2.8730000000000002</v>
      </c>
      <c r="K999">
        <v>10186</v>
      </c>
      <c r="L999">
        <v>10186000000</v>
      </c>
      <c r="M999">
        <v>-46791184</v>
      </c>
      <c r="N999">
        <v>103519444</v>
      </c>
      <c r="O999">
        <v>103519444</v>
      </c>
      <c r="P999">
        <v>0</v>
      </c>
      <c r="Q999">
        <v>0</v>
      </c>
      <c r="S999">
        <v>0</v>
      </c>
      <c r="T999">
        <v>14492720</v>
      </c>
      <c r="U999">
        <v>1449270</v>
      </c>
      <c r="V999">
        <v>0.51216666659999999</v>
      </c>
      <c r="W999">
        <v>0.50849999999999995</v>
      </c>
      <c r="X999">
        <v>0.38663333329999999</v>
      </c>
      <c r="Y999" t="s">
        <v>3007</v>
      </c>
      <c r="Z999">
        <v>10186.9</v>
      </c>
      <c r="AA999" t="s">
        <v>3007</v>
      </c>
      <c r="AB999">
        <v>10186.59</v>
      </c>
      <c r="AC999" t="s">
        <v>3007</v>
      </c>
      <c r="AD999">
        <v>10186.02</v>
      </c>
      <c r="AE999" t="s">
        <v>3007</v>
      </c>
      <c r="AF999" t="s">
        <v>3004</v>
      </c>
      <c r="AG999" t="s">
        <v>185</v>
      </c>
      <c r="AI999" t="s">
        <v>186</v>
      </c>
      <c r="AJ999" t="s">
        <v>3164</v>
      </c>
      <c r="AK999" t="s">
        <v>3009</v>
      </c>
    </row>
    <row r="1000" spans="1:37" x14ac:dyDescent="0.3">
      <c r="A1000">
        <v>8010</v>
      </c>
      <c r="B1000" s="207">
        <v>46121</v>
      </c>
      <c r="C1000" t="s">
        <v>3004</v>
      </c>
      <c r="D1000" t="s">
        <v>3165</v>
      </c>
      <c r="E1000" t="s">
        <v>3166</v>
      </c>
      <c r="F1000" s="207">
        <v>46159</v>
      </c>
      <c r="G1000">
        <v>3.8</v>
      </c>
      <c r="H1000">
        <v>10000000</v>
      </c>
      <c r="I1000">
        <v>10035532609</v>
      </c>
      <c r="J1000">
        <v>2.758</v>
      </c>
      <c r="K1000">
        <v>10066</v>
      </c>
      <c r="L1000">
        <v>10066000000</v>
      </c>
      <c r="M1000">
        <v>-25038226</v>
      </c>
      <c r="N1000">
        <v>55505617</v>
      </c>
      <c r="O1000">
        <v>55505617</v>
      </c>
      <c r="P1000">
        <v>0</v>
      </c>
      <c r="Q1000">
        <v>0</v>
      </c>
      <c r="S1000">
        <v>0</v>
      </c>
      <c r="T1000">
        <v>7770780</v>
      </c>
      <c r="U1000">
        <v>777070</v>
      </c>
      <c r="V1000">
        <v>0.105</v>
      </c>
      <c r="W1000">
        <v>0.1042666666</v>
      </c>
      <c r="X1000">
        <v>3.1800000000000002E-2</v>
      </c>
      <c r="Y1000" t="s">
        <v>3007</v>
      </c>
      <c r="Z1000">
        <v>10066.27</v>
      </c>
      <c r="AA1000" t="s">
        <v>3007</v>
      </c>
      <c r="AB1000">
        <v>10066.1</v>
      </c>
      <c r="AC1000" t="s">
        <v>3007</v>
      </c>
      <c r="AD1000">
        <v>10066.049999999999</v>
      </c>
      <c r="AE1000" t="s">
        <v>3007</v>
      </c>
      <c r="AF1000" t="s">
        <v>3004</v>
      </c>
      <c r="AG1000" t="s">
        <v>185</v>
      </c>
      <c r="AI1000" t="s">
        <v>186</v>
      </c>
      <c r="AJ1000" t="s">
        <v>3167</v>
      </c>
      <c r="AK1000" t="s">
        <v>3009</v>
      </c>
    </row>
    <row r="1001" spans="1:37" x14ac:dyDescent="0.3">
      <c r="A1001">
        <v>8010</v>
      </c>
      <c r="B1001" s="207">
        <v>46121</v>
      </c>
      <c r="C1001" t="s">
        <v>3004</v>
      </c>
      <c r="D1001" t="s">
        <v>3168</v>
      </c>
      <c r="E1001" t="s">
        <v>3169</v>
      </c>
      <c r="F1001" s="207">
        <v>46352</v>
      </c>
      <c r="G1001">
        <v>3.13</v>
      </c>
      <c r="H1001">
        <v>20000000</v>
      </c>
      <c r="I1001">
        <v>20046760870</v>
      </c>
      <c r="J1001">
        <v>2.92</v>
      </c>
      <c r="K1001">
        <v>10050</v>
      </c>
      <c r="L1001">
        <v>20100000000</v>
      </c>
      <c r="M1001">
        <v>-22373229</v>
      </c>
      <c r="N1001">
        <v>75612359</v>
      </c>
      <c r="O1001">
        <v>75612359</v>
      </c>
      <c r="P1001">
        <v>0</v>
      </c>
      <c r="Q1001">
        <v>0</v>
      </c>
      <c r="S1001">
        <v>0</v>
      </c>
      <c r="T1001">
        <v>10585730</v>
      </c>
      <c r="U1001">
        <v>1058570</v>
      </c>
      <c r="V1001">
        <v>0.62450000000000006</v>
      </c>
      <c r="W1001">
        <v>0.61996666659999999</v>
      </c>
      <c r="X1001">
        <v>0.53546666659999997</v>
      </c>
      <c r="Y1001" t="s">
        <v>3007</v>
      </c>
      <c r="Z1001">
        <v>10050.27</v>
      </c>
      <c r="AA1001" t="s">
        <v>3007</v>
      </c>
      <c r="AB1001">
        <v>10050.83</v>
      </c>
      <c r="AC1001" t="s">
        <v>3007</v>
      </c>
      <c r="AD1001">
        <v>10050.959999999999</v>
      </c>
      <c r="AE1001" t="s">
        <v>3007</v>
      </c>
      <c r="AF1001" t="s">
        <v>3066</v>
      </c>
      <c r="AG1001" t="s">
        <v>185</v>
      </c>
      <c r="AI1001" t="s">
        <v>186</v>
      </c>
      <c r="AJ1001" t="s">
        <v>3170</v>
      </c>
      <c r="AK1001" t="s">
        <v>3009</v>
      </c>
    </row>
    <row r="1002" spans="1:37" x14ac:dyDescent="0.3">
      <c r="A1002">
        <v>8010</v>
      </c>
      <c r="B1002" s="207">
        <v>46121</v>
      </c>
      <c r="C1002" t="s">
        <v>3004</v>
      </c>
      <c r="D1002" t="s">
        <v>3171</v>
      </c>
      <c r="E1002" t="s">
        <v>3172</v>
      </c>
      <c r="F1002" s="207">
        <v>46318</v>
      </c>
      <c r="G1002">
        <v>3.23</v>
      </c>
      <c r="H1002">
        <v>20000000</v>
      </c>
      <c r="I1002">
        <v>20057119566</v>
      </c>
      <c r="J1002">
        <v>2.8849999999999998</v>
      </c>
      <c r="K1002">
        <v>10087</v>
      </c>
      <c r="L1002">
        <v>20174000000</v>
      </c>
      <c r="M1002">
        <v>-21291788</v>
      </c>
      <c r="N1002">
        <v>138172222</v>
      </c>
      <c r="O1002">
        <v>138172222</v>
      </c>
      <c r="P1002">
        <v>0</v>
      </c>
      <c r="Q1002">
        <v>0</v>
      </c>
      <c r="S1002">
        <v>0</v>
      </c>
      <c r="T1002">
        <v>19344110</v>
      </c>
      <c r="U1002">
        <v>1934410</v>
      </c>
      <c r="V1002">
        <v>0.53113333330000001</v>
      </c>
      <c r="W1002">
        <v>0.52733333329999998</v>
      </c>
      <c r="X1002">
        <v>0.40883333329999999</v>
      </c>
      <c r="Y1002" t="s">
        <v>3007</v>
      </c>
      <c r="Z1002">
        <v>10087.14</v>
      </c>
      <c r="AA1002" t="s">
        <v>3007</v>
      </c>
      <c r="AB1002">
        <v>10087.459999999999</v>
      </c>
      <c r="AC1002" t="s">
        <v>3007</v>
      </c>
      <c r="AD1002">
        <v>10087.25</v>
      </c>
      <c r="AE1002" t="s">
        <v>3007</v>
      </c>
      <c r="AF1002" t="s">
        <v>3066</v>
      </c>
      <c r="AG1002" t="s">
        <v>185</v>
      </c>
      <c r="AI1002" t="s">
        <v>186</v>
      </c>
      <c r="AJ1002" t="s">
        <v>3173</v>
      </c>
      <c r="AK1002" t="s">
        <v>3009</v>
      </c>
    </row>
    <row r="1003" spans="1:37" x14ac:dyDescent="0.3">
      <c r="A1003">
        <v>8013</v>
      </c>
      <c r="B1003" s="207">
        <v>46121</v>
      </c>
      <c r="C1003" t="s">
        <v>3004</v>
      </c>
      <c r="D1003" t="s">
        <v>3174</v>
      </c>
      <c r="E1003" t="s">
        <v>3175</v>
      </c>
      <c r="F1003" s="207">
        <v>46198</v>
      </c>
      <c r="G1003">
        <v>2.57</v>
      </c>
      <c r="H1003">
        <v>10000000</v>
      </c>
      <c r="I1003">
        <v>9989980556</v>
      </c>
      <c r="J1003">
        <v>2.7850000000000001</v>
      </c>
      <c r="K1003">
        <v>10006</v>
      </c>
      <c r="L1003">
        <v>10006000000</v>
      </c>
      <c r="M1003">
        <v>4845531</v>
      </c>
      <c r="N1003">
        <v>11173913</v>
      </c>
      <c r="O1003">
        <v>11173913</v>
      </c>
      <c r="P1003">
        <v>0</v>
      </c>
      <c r="Q1003">
        <v>0</v>
      </c>
      <c r="S1003">
        <v>0</v>
      </c>
      <c r="T1003">
        <v>1564340</v>
      </c>
      <c r="U1003">
        <v>156430</v>
      </c>
      <c r="V1003">
        <v>0.20749999999999999</v>
      </c>
      <c r="W1003">
        <v>0.2060666666</v>
      </c>
      <c r="X1003">
        <v>9.0700000000000003E-2</v>
      </c>
      <c r="Y1003" t="s">
        <v>3007</v>
      </c>
      <c r="Z1003">
        <v>10006.81</v>
      </c>
      <c r="AA1003" t="s">
        <v>3007</v>
      </c>
      <c r="AB1003">
        <v>10006.69</v>
      </c>
      <c r="AC1003" t="s">
        <v>3007</v>
      </c>
      <c r="AD1003">
        <v>10006.549999999999</v>
      </c>
      <c r="AE1003" t="s">
        <v>3007</v>
      </c>
      <c r="AF1003" t="s">
        <v>3004</v>
      </c>
      <c r="AG1003" t="s">
        <v>185</v>
      </c>
      <c r="AI1003" t="s">
        <v>186</v>
      </c>
      <c r="AJ1003" t="s">
        <v>3176</v>
      </c>
      <c r="AK1003" t="s">
        <v>3009</v>
      </c>
    </row>
    <row r="1004" spans="1:37" x14ac:dyDescent="0.3">
      <c r="A1004">
        <v>8013</v>
      </c>
      <c r="B1004" s="207">
        <v>46121</v>
      </c>
      <c r="C1004" t="s">
        <v>3004</v>
      </c>
      <c r="D1004" t="s">
        <v>3177</v>
      </c>
      <c r="E1004" t="s">
        <v>3178</v>
      </c>
      <c r="F1004" s="207">
        <v>46221</v>
      </c>
      <c r="G1004">
        <v>3.19</v>
      </c>
      <c r="H1004">
        <v>30000000</v>
      </c>
      <c r="I1004">
        <v>30064708334</v>
      </c>
      <c r="J1004">
        <v>2.8010000000000002</v>
      </c>
      <c r="K1004">
        <v>10083</v>
      </c>
      <c r="L1004">
        <v>30249000000</v>
      </c>
      <c r="M1004">
        <v>-33691667</v>
      </c>
      <c r="N1004">
        <v>217983333</v>
      </c>
      <c r="O1004">
        <v>204691667</v>
      </c>
      <c r="P1004">
        <v>0</v>
      </c>
      <c r="Q1004">
        <v>13291666</v>
      </c>
      <c r="S1004">
        <v>0</v>
      </c>
      <c r="T1004">
        <v>28656830</v>
      </c>
      <c r="U1004">
        <v>2865680</v>
      </c>
      <c r="V1004">
        <v>0.2712</v>
      </c>
      <c r="W1004">
        <v>0.26933333329999998</v>
      </c>
      <c r="X1004">
        <v>0.13819999999999999</v>
      </c>
      <c r="Y1004" t="s">
        <v>3007</v>
      </c>
      <c r="Z1004">
        <v>10083.290000000001</v>
      </c>
      <c r="AA1004" t="s">
        <v>3007</v>
      </c>
      <c r="AB1004">
        <v>10083.129999999999</v>
      </c>
      <c r="AC1004" t="s">
        <v>3007</v>
      </c>
      <c r="AD1004">
        <v>10082.91</v>
      </c>
      <c r="AE1004" t="s">
        <v>3007</v>
      </c>
      <c r="AF1004" t="s">
        <v>3004</v>
      </c>
      <c r="AG1004" t="s">
        <v>185</v>
      </c>
      <c r="AI1004" t="s">
        <v>3179</v>
      </c>
      <c r="AJ1004" t="s">
        <v>3180</v>
      </c>
      <c r="AK1004" t="s">
        <v>3009</v>
      </c>
    </row>
    <row r="1005" spans="1:37" x14ac:dyDescent="0.3">
      <c r="A1005">
        <v>8013</v>
      </c>
      <c r="B1005" s="207">
        <v>46121</v>
      </c>
      <c r="C1005" t="s">
        <v>3004</v>
      </c>
      <c r="D1005" t="s">
        <v>3181</v>
      </c>
      <c r="E1005" t="s">
        <v>3182</v>
      </c>
      <c r="F1005" s="207">
        <v>46353</v>
      </c>
      <c r="G1005">
        <v>2.5299999999999998</v>
      </c>
      <c r="H1005">
        <v>50000000</v>
      </c>
      <c r="I1005">
        <v>49869687500</v>
      </c>
      <c r="J1005">
        <v>2.9060000000000001</v>
      </c>
      <c r="K1005">
        <v>10006</v>
      </c>
      <c r="L1005">
        <v>50030000000</v>
      </c>
      <c r="M1005">
        <v>11070927</v>
      </c>
      <c r="N1005">
        <v>149241573</v>
      </c>
      <c r="O1005">
        <v>149241573</v>
      </c>
      <c r="P1005">
        <v>0</v>
      </c>
      <c r="Q1005">
        <v>0</v>
      </c>
      <c r="S1005">
        <v>0</v>
      </c>
      <c r="T1005">
        <v>20893820</v>
      </c>
      <c r="U1005">
        <v>2089380</v>
      </c>
      <c r="V1005">
        <v>0.62839999999999996</v>
      </c>
      <c r="W1005">
        <v>0.62386666660000001</v>
      </c>
      <c r="X1005">
        <v>0.54083333330000005</v>
      </c>
      <c r="Y1005" t="s">
        <v>3007</v>
      </c>
      <c r="Z1005">
        <v>10006.57</v>
      </c>
      <c r="AA1005" t="s">
        <v>3007</v>
      </c>
      <c r="AB1005">
        <v>10006.379999999999</v>
      </c>
      <c r="AC1005" t="s">
        <v>3007</v>
      </c>
      <c r="AD1005">
        <v>10005.76</v>
      </c>
      <c r="AE1005" t="s">
        <v>3007</v>
      </c>
      <c r="AF1005" t="s">
        <v>3004</v>
      </c>
      <c r="AG1005" t="s">
        <v>185</v>
      </c>
      <c r="AI1005" t="s">
        <v>186</v>
      </c>
      <c r="AJ1005" t="s">
        <v>3183</v>
      </c>
      <c r="AK1005" t="s">
        <v>3009</v>
      </c>
    </row>
    <row r="1006" spans="1:37" x14ac:dyDescent="0.3">
      <c r="A1006">
        <v>8013</v>
      </c>
      <c r="B1006" s="207">
        <v>46121</v>
      </c>
      <c r="C1006" t="s">
        <v>3004</v>
      </c>
      <c r="D1006" t="s">
        <v>3184</v>
      </c>
      <c r="E1006" t="s">
        <v>3185</v>
      </c>
      <c r="F1006" s="207">
        <v>46133</v>
      </c>
      <c r="G1006">
        <v>2.57</v>
      </c>
      <c r="H1006">
        <v>10000000</v>
      </c>
      <c r="I1006">
        <v>9864304110</v>
      </c>
      <c r="J1006">
        <v>2.7450000000000001</v>
      </c>
      <c r="K1006">
        <v>9991</v>
      </c>
      <c r="L1006">
        <v>9991000000</v>
      </c>
      <c r="M1006">
        <v>6293151</v>
      </c>
      <c r="N1006">
        <v>120402739</v>
      </c>
      <c r="O1006">
        <v>69706849</v>
      </c>
      <c r="P1006">
        <v>2112329</v>
      </c>
      <c r="Q1006">
        <v>48583561</v>
      </c>
      <c r="S1006">
        <v>0</v>
      </c>
      <c r="T1006">
        <v>10054680</v>
      </c>
      <c r="U1006">
        <v>1005460</v>
      </c>
      <c r="V1006">
        <v>3.10333333E-2</v>
      </c>
      <c r="W1006">
        <v>3.0466666600000001E-2</v>
      </c>
      <c r="X1006">
        <v>2.1133333300000001E-2</v>
      </c>
      <c r="Y1006" t="s">
        <v>3007</v>
      </c>
      <c r="Z1006">
        <v>9991.73</v>
      </c>
      <c r="AA1006" t="s">
        <v>3007</v>
      </c>
      <c r="AB1006">
        <v>9991.75</v>
      </c>
      <c r="AC1006" t="s">
        <v>3007</v>
      </c>
      <c r="AD1006">
        <v>9991.7099999999991</v>
      </c>
      <c r="AE1006" t="s">
        <v>3007</v>
      </c>
      <c r="AF1006" t="s">
        <v>3004</v>
      </c>
      <c r="AG1006" t="s">
        <v>185</v>
      </c>
      <c r="AI1006" t="s">
        <v>186</v>
      </c>
      <c r="AJ1006" t="s">
        <v>3186</v>
      </c>
      <c r="AK1006" t="s">
        <v>3009</v>
      </c>
    </row>
    <row r="1007" spans="1:37" x14ac:dyDescent="0.3">
      <c r="A1007">
        <v>8013</v>
      </c>
      <c r="B1007" s="207">
        <v>46121</v>
      </c>
      <c r="C1007" t="s">
        <v>3004</v>
      </c>
      <c r="D1007" t="s">
        <v>3187</v>
      </c>
      <c r="E1007" t="s">
        <v>3188</v>
      </c>
      <c r="F1007" s="207">
        <v>46170</v>
      </c>
      <c r="G1007">
        <v>3.14</v>
      </c>
      <c r="H1007">
        <v>10000000</v>
      </c>
      <c r="I1007">
        <v>10011989131</v>
      </c>
      <c r="J1007">
        <v>2.766</v>
      </c>
      <c r="K1007">
        <v>10041</v>
      </c>
      <c r="L1007">
        <v>10041000000</v>
      </c>
      <c r="M1007">
        <v>-7152052</v>
      </c>
      <c r="N1007">
        <v>36162921</v>
      </c>
      <c r="O1007">
        <v>36162921</v>
      </c>
      <c r="P1007">
        <v>0</v>
      </c>
      <c r="Q1007">
        <v>0</v>
      </c>
      <c r="S1007">
        <v>0</v>
      </c>
      <c r="T1007">
        <v>5062800</v>
      </c>
      <c r="U1007">
        <v>506280</v>
      </c>
      <c r="V1007">
        <v>0.13589999999999999</v>
      </c>
      <c r="W1007">
        <v>0.13496666660000001</v>
      </c>
      <c r="X1007">
        <v>4.6633333300000003E-2</v>
      </c>
      <c r="Y1007" t="s">
        <v>3007</v>
      </c>
      <c r="Z1007">
        <v>10041.17</v>
      </c>
      <c r="AA1007" t="s">
        <v>3007</v>
      </c>
      <c r="AB1007">
        <v>10041.02</v>
      </c>
      <c r="AC1007" t="s">
        <v>3007</v>
      </c>
      <c r="AD1007">
        <v>10040.94</v>
      </c>
      <c r="AE1007" t="s">
        <v>3007</v>
      </c>
      <c r="AF1007" t="s">
        <v>3004</v>
      </c>
      <c r="AG1007" t="s">
        <v>185</v>
      </c>
      <c r="AI1007" t="s">
        <v>186</v>
      </c>
      <c r="AJ1007" t="s">
        <v>3189</v>
      </c>
      <c r="AK1007" t="s">
        <v>3009</v>
      </c>
    </row>
    <row r="1008" spans="1:37" x14ac:dyDescent="0.3">
      <c r="A1008">
        <v>8013</v>
      </c>
      <c r="B1008" s="207">
        <v>46121</v>
      </c>
      <c r="C1008" t="s">
        <v>3004</v>
      </c>
      <c r="D1008" t="s">
        <v>3190</v>
      </c>
      <c r="E1008" t="s">
        <v>3191</v>
      </c>
      <c r="F1008" s="207">
        <v>46283</v>
      </c>
      <c r="G1008">
        <v>2.54</v>
      </c>
      <c r="H1008">
        <v>10000000</v>
      </c>
      <c r="I1008">
        <v>9977883334</v>
      </c>
      <c r="J1008">
        <v>2.85</v>
      </c>
      <c r="K1008">
        <v>10002</v>
      </c>
      <c r="L1008">
        <v>10002000000</v>
      </c>
      <c r="M1008">
        <v>8241666</v>
      </c>
      <c r="N1008">
        <v>15875000</v>
      </c>
      <c r="O1008">
        <v>15875000</v>
      </c>
      <c r="P1008">
        <v>0</v>
      </c>
      <c r="Q1008">
        <v>0</v>
      </c>
      <c r="S1008">
        <v>0</v>
      </c>
      <c r="T1008">
        <v>2222500</v>
      </c>
      <c r="U1008">
        <v>222250</v>
      </c>
      <c r="V1008">
        <v>0.4369333333</v>
      </c>
      <c r="W1008">
        <v>0.43383333330000001</v>
      </c>
      <c r="X1008">
        <v>0.29246666659999998</v>
      </c>
      <c r="Y1008" t="s">
        <v>3007</v>
      </c>
      <c r="Z1008">
        <v>10002.65</v>
      </c>
      <c r="AA1008" t="s">
        <v>3007</v>
      </c>
      <c r="AB1008">
        <v>10002.39</v>
      </c>
      <c r="AC1008" t="s">
        <v>3007</v>
      </c>
      <c r="AD1008">
        <v>10001.92</v>
      </c>
      <c r="AE1008" t="s">
        <v>3007</v>
      </c>
      <c r="AF1008" t="s">
        <v>3004</v>
      </c>
      <c r="AG1008" t="s">
        <v>185</v>
      </c>
      <c r="AI1008" t="s">
        <v>186</v>
      </c>
      <c r="AJ1008" t="s">
        <v>3192</v>
      </c>
      <c r="AK1008" t="s">
        <v>3009</v>
      </c>
    </row>
    <row r="1009" spans="1:37" x14ac:dyDescent="0.3">
      <c r="A1009">
        <v>8013</v>
      </c>
      <c r="B1009" s="207">
        <v>46121</v>
      </c>
      <c r="C1009" t="s">
        <v>3004</v>
      </c>
      <c r="D1009" t="s">
        <v>3193</v>
      </c>
      <c r="E1009" t="s">
        <v>3194</v>
      </c>
      <c r="F1009" s="207">
        <v>46381</v>
      </c>
      <c r="G1009">
        <v>3.17</v>
      </c>
      <c r="H1009">
        <v>10000000</v>
      </c>
      <c r="I1009">
        <v>10020544445</v>
      </c>
      <c r="J1009">
        <v>2.9279999999999999</v>
      </c>
      <c r="K1009">
        <v>10030</v>
      </c>
      <c r="L1009">
        <v>10030000000</v>
      </c>
      <c r="M1009">
        <v>-4327053</v>
      </c>
      <c r="N1009">
        <v>13782608</v>
      </c>
      <c r="O1009">
        <v>13782608</v>
      </c>
      <c r="P1009">
        <v>0</v>
      </c>
      <c r="Q1009">
        <v>0</v>
      </c>
      <c r="S1009">
        <v>0</v>
      </c>
      <c r="T1009">
        <v>1929560</v>
      </c>
      <c r="U1009">
        <v>192950</v>
      </c>
      <c r="V1009">
        <v>0.70163333329999999</v>
      </c>
      <c r="W1009">
        <v>0.6965333333</v>
      </c>
      <c r="X1009">
        <v>0.65746666659999997</v>
      </c>
      <c r="Y1009" t="s">
        <v>3007</v>
      </c>
      <c r="Z1009">
        <v>10030.77</v>
      </c>
      <c r="AA1009" t="s">
        <v>3007</v>
      </c>
      <c r="AB1009">
        <v>10030.700000000001</v>
      </c>
      <c r="AC1009" t="s">
        <v>3007</v>
      </c>
      <c r="AD1009">
        <v>10030.07</v>
      </c>
      <c r="AE1009" t="s">
        <v>3007</v>
      </c>
      <c r="AF1009" t="s">
        <v>3004</v>
      </c>
      <c r="AG1009" t="s">
        <v>185</v>
      </c>
      <c r="AI1009" t="s">
        <v>186</v>
      </c>
      <c r="AJ1009" t="s">
        <v>3195</v>
      </c>
      <c r="AK1009" t="s">
        <v>3009</v>
      </c>
    </row>
    <row r="1010" spans="1:37" x14ac:dyDescent="0.3">
      <c r="A1010">
        <v>8013</v>
      </c>
      <c r="B1010" s="207">
        <v>46121</v>
      </c>
      <c r="C1010" t="s">
        <v>3004</v>
      </c>
      <c r="D1010" t="s">
        <v>3196</v>
      </c>
      <c r="E1010" t="s">
        <v>3197</v>
      </c>
      <c r="F1010" s="207">
        <v>46375</v>
      </c>
      <c r="G1010">
        <v>2.59</v>
      </c>
      <c r="H1010">
        <v>10000000</v>
      </c>
      <c r="I1010">
        <v>9977647223</v>
      </c>
      <c r="J1010">
        <v>2.923</v>
      </c>
      <c r="K1010">
        <v>9992</v>
      </c>
      <c r="L1010">
        <v>9992000000</v>
      </c>
      <c r="M1010">
        <v>-1130918</v>
      </c>
      <c r="N1010">
        <v>15483695</v>
      </c>
      <c r="O1010">
        <v>15483695</v>
      </c>
      <c r="P1010">
        <v>0</v>
      </c>
      <c r="Q1010">
        <v>0</v>
      </c>
      <c r="S1010">
        <v>0</v>
      </c>
      <c r="T1010">
        <v>2167710</v>
      </c>
      <c r="U1010">
        <v>216770</v>
      </c>
      <c r="V1010">
        <v>0.68640000000000001</v>
      </c>
      <c r="W1010">
        <v>0.6814333333</v>
      </c>
      <c r="X1010">
        <v>0.63173333330000003</v>
      </c>
      <c r="Y1010" t="s">
        <v>3007</v>
      </c>
      <c r="Z1010">
        <v>9992.99</v>
      </c>
      <c r="AA1010" t="s">
        <v>3007</v>
      </c>
      <c r="AB1010">
        <v>9992.7800000000007</v>
      </c>
      <c r="AC1010" t="s">
        <v>3007</v>
      </c>
      <c r="AD1010">
        <v>9992.24</v>
      </c>
      <c r="AE1010" t="s">
        <v>3007</v>
      </c>
      <c r="AF1010" t="s">
        <v>3004</v>
      </c>
      <c r="AG1010" t="s">
        <v>185</v>
      </c>
      <c r="AI1010" t="s">
        <v>186</v>
      </c>
      <c r="AJ1010" t="s">
        <v>3198</v>
      </c>
      <c r="AK1010" t="s">
        <v>3009</v>
      </c>
    </row>
    <row r="1011" spans="1:37" x14ac:dyDescent="0.3">
      <c r="A1011">
        <v>8013</v>
      </c>
      <c r="B1011" s="207">
        <v>46121</v>
      </c>
      <c r="C1011" t="s">
        <v>3004</v>
      </c>
      <c r="D1011" t="s">
        <v>3199</v>
      </c>
      <c r="E1011" t="s">
        <v>3200</v>
      </c>
      <c r="F1011" s="207">
        <v>46130</v>
      </c>
      <c r="G1011">
        <v>3.17</v>
      </c>
      <c r="H1011">
        <v>40000000</v>
      </c>
      <c r="I1011">
        <v>40041576087</v>
      </c>
      <c r="J1011">
        <v>2.7429999999999999</v>
      </c>
      <c r="K1011">
        <v>10073</v>
      </c>
      <c r="L1011">
        <v>40292000000</v>
      </c>
      <c r="M1011">
        <v>-38398309</v>
      </c>
      <c r="N1011">
        <v>288822222</v>
      </c>
      <c r="O1011">
        <v>288822222</v>
      </c>
      <c r="P1011">
        <v>0</v>
      </c>
      <c r="Q1011">
        <v>0</v>
      </c>
      <c r="S1011">
        <v>0</v>
      </c>
      <c r="T1011">
        <v>40435110</v>
      </c>
      <c r="U1011">
        <v>4043510</v>
      </c>
      <c r="V1011">
        <v>2.3199999999999998E-2</v>
      </c>
      <c r="W1011">
        <v>2.30333333E-2</v>
      </c>
      <c r="X1011">
        <v>4.5999999999999999E-3</v>
      </c>
      <c r="Y1011" t="s">
        <v>3007</v>
      </c>
      <c r="Z1011">
        <v>10073.1</v>
      </c>
      <c r="AA1011" t="s">
        <v>3007</v>
      </c>
      <c r="AB1011">
        <v>10073.120000000001</v>
      </c>
      <c r="AC1011" t="s">
        <v>3007</v>
      </c>
      <c r="AD1011">
        <v>10073.09</v>
      </c>
      <c r="AE1011" t="s">
        <v>3007</v>
      </c>
      <c r="AF1011" t="s">
        <v>3004</v>
      </c>
      <c r="AG1011" t="s">
        <v>185</v>
      </c>
      <c r="AI1011" t="s">
        <v>186</v>
      </c>
      <c r="AJ1011" t="s">
        <v>3201</v>
      </c>
      <c r="AK1011" t="s">
        <v>3009</v>
      </c>
    </row>
    <row r="1012" spans="1:37" x14ac:dyDescent="0.3">
      <c r="A1012">
        <v>8013</v>
      </c>
      <c r="B1012" s="207">
        <v>46121</v>
      </c>
      <c r="C1012" t="s">
        <v>3004</v>
      </c>
      <c r="D1012" t="s">
        <v>3202</v>
      </c>
      <c r="E1012" t="s">
        <v>3203</v>
      </c>
      <c r="F1012" s="207">
        <v>46355</v>
      </c>
      <c r="G1012">
        <v>3.08</v>
      </c>
      <c r="H1012">
        <v>10000000</v>
      </c>
      <c r="I1012">
        <v>10022076924</v>
      </c>
      <c r="J1012">
        <v>2.9079999999999999</v>
      </c>
      <c r="K1012">
        <v>10045</v>
      </c>
      <c r="L1012">
        <v>10045000000</v>
      </c>
      <c r="M1012">
        <v>-12154701</v>
      </c>
      <c r="N1012">
        <v>35077777</v>
      </c>
      <c r="O1012">
        <v>35077777</v>
      </c>
      <c r="P1012">
        <v>0</v>
      </c>
      <c r="Q1012">
        <v>0</v>
      </c>
      <c r="S1012">
        <v>0</v>
      </c>
      <c r="T1012">
        <v>4910880</v>
      </c>
      <c r="U1012">
        <v>491080</v>
      </c>
      <c r="V1012">
        <v>0.63146666659999995</v>
      </c>
      <c r="W1012">
        <v>0.62690000000000001</v>
      </c>
      <c r="X1012">
        <v>0.54583333329999995</v>
      </c>
      <c r="Y1012" t="s">
        <v>3007</v>
      </c>
      <c r="Z1012">
        <v>10046.049999999999</v>
      </c>
      <c r="AA1012" t="s">
        <v>3007</v>
      </c>
      <c r="AB1012">
        <v>10045.93</v>
      </c>
      <c r="AC1012" t="s">
        <v>3007</v>
      </c>
      <c r="AD1012">
        <v>10045.24</v>
      </c>
      <c r="AE1012" t="s">
        <v>3007</v>
      </c>
      <c r="AF1012" t="s">
        <v>3004</v>
      </c>
      <c r="AG1012" t="s">
        <v>185</v>
      </c>
      <c r="AI1012" t="s">
        <v>186</v>
      </c>
      <c r="AJ1012" t="s">
        <v>3204</v>
      </c>
      <c r="AK1012" t="s">
        <v>3009</v>
      </c>
    </row>
    <row r="1013" spans="1:37" x14ac:dyDescent="0.3">
      <c r="A1013">
        <v>8013</v>
      </c>
      <c r="B1013" s="207">
        <v>46121</v>
      </c>
      <c r="C1013" t="s">
        <v>3004</v>
      </c>
      <c r="D1013" t="s">
        <v>3205</v>
      </c>
      <c r="E1013" t="s">
        <v>3206</v>
      </c>
      <c r="F1013" s="207">
        <v>46279</v>
      </c>
      <c r="G1013">
        <v>4.3499999999999996</v>
      </c>
      <c r="H1013">
        <v>10000000</v>
      </c>
      <c r="I1013">
        <v>10085500000</v>
      </c>
      <c r="J1013">
        <v>2.8479999999999999</v>
      </c>
      <c r="K1013">
        <v>10095</v>
      </c>
      <c r="L1013">
        <v>10095000000</v>
      </c>
      <c r="M1013">
        <v>-22415760</v>
      </c>
      <c r="N1013">
        <v>31915760</v>
      </c>
      <c r="O1013">
        <v>31915760</v>
      </c>
      <c r="P1013">
        <v>0</v>
      </c>
      <c r="Q1013">
        <v>0</v>
      </c>
      <c r="S1013">
        <v>0</v>
      </c>
      <c r="T1013">
        <v>4468200</v>
      </c>
      <c r="U1013">
        <v>446820</v>
      </c>
      <c r="V1013">
        <v>0.42499999999999999</v>
      </c>
      <c r="W1013">
        <v>0.42196666659999998</v>
      </c>
      <c r="X1013">
        <v>0.2792</v>
      </c>
      <c r="Y1013" t="s">
        <v>3007</v>
      </c>
      <c r="Z1013">
        <v>10095.459999999999</v>
      </c>
      <c r="AA1013" t="s">
        <v>3007</v>
      </c>
      <c r="AB1013">
        <v>10095.33</v>
      </c>
      <c r="AC1013" t="s">
        <v>3007</v>
      </c>
      <c r="AD1013">
        <v>10094.86</v>
      </c>
      <c r="AE1013" t="s">
        <v>3007</v>
      </c>
      <c r="AF1013" t="s">
        <v>3004</v>
      </c>
      <c r="AG1013" t="s">
        <v>185</v>
      </c>
      <c r="AI1013" t="s">
        <v>186</v>
      </c>
      <c r="AJ1013" t="s">
        <v>3207</v>
      </c>
      <c r="AK1013" t="s">
        <v>3009</v>
      </c>
    </row>
    <row r="1014" spans="1:37" x14ac:dyDescent="0.3">
      <c r="A1014">
        <v>8013</v>
      </c>
      <c r="B1014" s="207">
        <v>46121</v>
      </c>
      <c r="C1014" t="s">
        <v>3004</v>
      </c>
      <c r="D1014" t="s">
        <v>3208</v>
      </c>
      <c r="E1014" t="s">
        <v>3209</v>
      </c>
      <c r="F1014" s="207">
        <v>46443</v>
      </c>
      <c r="G1014">
        <v>2.9</v>
      </c>
      <c r="H1014">
        <v>20000000</v>
      </c>
      <c r="I1014">
        <v>19989522472</v>
      </c>
      <c r="J1014">
        <v>3.03</v>
      </c>
      <c r="K1014">
        <v>10024</v>
      </c>
      <c r="L1014">
        <v>20048000000</v>
      </c>
      <c r="M1014">
        <v>-13207864</v>
      </c>
      <c r="N1014">
        <v>71685392</v>
      </c>
      <c r="O1014">
        <v>56207864</v>
      </c>
      <c r="P1014">
        <v>0</v>
      </c>
      <c r="Q1014">
        <v>15477528</v>
      </c>
      <c r="S1014">
        <v>0</v>
      </c>
      <c r="T1014">
        <v>7869090</v>
      </c>
      <c r="U1014">
        <v>786900</v>
      </c>
      <c r="V1014">
        <v>0.86676666660000001</v>
      </c>
      <c r="W1014">
        <v>0.86019999999999996</v>
      </c>
      <c r="X1014">
        <v>0.95436666660000002</v>
      </c>
      <c r="Y1014" t="s">
        <v>3007</v>
      </c>
      <c r="Z1014">
        <v>10025.01</v>
      </c>
      <c r="AA1014" t="s">
        <v>3007</v>
      </c>
      <c r="AB1014">
        <v>10024.84</v>
      </c>
      <c r="AC1014" t="s">
        <v>3007</v>
      </c>
      <c r="AD1014">
        <v>10023.549999999999</v>
      </c>
      <c r="AE1014" t="s">
        <v>3007</v>
      </c>
      <c r="AF1014" t="s">
        <v>3004</v>
      </c>
      <c r="AG1014" t="s">
        <v>185</v>
      </c>
      <c r="AI1014" t="s">
        <v>186</v>
      </c>
      <c r="AJ1014" t="s">
        <v>3210</v>
      </c>
      <c r="AK1014" t="s">
        <v>3009</v>
      </c>
    </row>
    <row r="1015" spans="1:37" x14ac:dyDescent="0.3">
      <c r="A1015">
        <v>8013</v>
      </c>
      <c r="B1015" s="207">
        <v>46121</v>
      </c>
      <c r="C1015" t="s">
        <v>3004</v>
      </c>
      <c r="D1015" t="s">
        <v>3211</v>
      </c>
      <c r="E1015" t="s">
        <v>3212</v>
      </c>
      <c r="F1015" s="207">
        <v>46126</v>
      </c>
      <c r="G1015">
        <v>2.59</v>
      </c>
      <c r="H1015">
        <v>10000000</v>
      </c>
      <c r="I1015">
        <v>9735087672</v>
      </c>
      <c r="J1015">
        <v>2.7410000000000001</v>
      </c>
      <c r="K1015">
        <v>9996</v>
      </c>
      <c r="L1015">
        <v>9996000000</v>
      </c>
      <c r="M1015">
        <v>4750685</v>
      </c>
      <c r="N1015">
        <v>256161643</v>
      </c>
      <c r="O1015">
        <v>70249315</v>
      </c>
      <c r="P1015">
        <v>1419178</v>
      </c>
      <c r="Q1015">
        <v>184493150</v>
      </c>
      <c r="S1015">
        <v>0</v>
      </c>
      <c r="T1015">
        <v>10033580</v>
      </c>
      <c r="U1015">
        <v>1003350</v>
      </c>
      <c r="V1015">
        <v>1.1900000000000001E-2</v>
      </c>
      <c r="W1015">
        <v>1.16666666E-2</v>
      </c>
      <c r="X1015">
        <v>7.9666666000000001E-3</v>
      </c>
      <c r="Y1015" t="s">
        <v>3007</v>
      </c>
      <c r="Z1015">
        <v>9996.99</v>
      </c>
      <c r="AA1015" t="s">
        <v>3007</v>
      </c>
      <c r="AB1015">
        <v>9997</v>
      </c>
      <c r="AC1015" t="s">
        <v>3007</v>
      </c>
      <c r="AD1015">
        <v>9996.99</v>
      </c>
      <c r="AE1015" t="s">
        <v>3007</v>
      </c>
      <c r="AF1015" t="s">
        <v>3004</v>
      </c>
      <c r="AG1015" t="s">
        <v>185</v>
      </c>
      <c r="AI1015" t="s">
        <v>186</v>
      </c>
      <c r="AJ1015" t="s">
        <v>3213</v>
      </c>
      <c r="AK1015" t="s">
        <v>3009</v>
      </c>
    </row>
    <row r="1016" spans="1:37" x14ac:dyDescent="0.3">
      <c r="A1016">
        <v>8013</v>
      </c>
      <c r="B1016" s="207">
        <v>46121</v>
      </c>
      <c r="C1016" t="s">
        <v>3004</v>
      </c>
      <c r="D1016" t="s">
        <v>3214</v>
      </c>
      <c r="E1016" t="s">
        <v>3215</v>
      </c>
      <c r="F1016" s="207">
        <v>46184</v>
      </c>
      <c r="G1016">
        <v>2.4700000000000002</v>
      </c>
      <c r="H1016">
        <v>30000000</v>
      </c>
      <c r="I1016">
        <v>29337690411</v>
      </c>
      <c r="J1016">
        <v>2.7759999999999998</v>
      </c>
      <c r="K1016">
        <v>9953</v>
      </c>
      <c r="L1016">
        <v>29859000000</v>
      </c>
      <c r="M1016">
        <v>30016439</v>
      </c>
      <c r="N1016">
        <v>491293150</v>
      </c>
      <c r="O1016">
        <v>200983561</v>
      </c>
      <c r="P1016">
        <v>32482192</v>
      </c>
      <c r="Q1016">
        <v>257827397</v>
      </c>
      <c r="S1016">
        <v>0</v>
      </c>
      <c r="T1016">
        <v>32685200</v>
      </c>
      <c r="U1016">
        <v>3268520</v>
      </c>
      <c r="V1016">
        <v>0.17080000000000001</v>
      </c>
      <c r="W1016">
        <v>0.16746666660000001</v>
      </c>
      <c r="X1016">
        <v>0.1456333333</v>
      </c>
      <c r="Y1016" t="s">
        <v>3007</v>
      </c>
      <c r="Z1016">
        <v>9953.16</v>
      </c>
      <c r="AA1016" t="s">
        <v>3007</v>
      </c>
      <c r="AB1016">
        <v>9953.0499999999993</v>
      </c>
      <c r="AC1016" t="s">
        <v>3007</v>
      </c>
      <c r="AD1016">
        <v>9952.94</v>
      </c>
      <c r="AE1016" t="s">
        <v>3007</v>
      </c>
      <c r="AF1016" t="s">
        <v>3004</v>
      </c>
      <c r="AG1016" t="s">
        <v>185</v>
      </c>
      <c r="AI1016" t="s">
        <v>186</v>
      </c>
      <c r="AJ1016" t="s">
        <v>3216</v>
      </c>
      <c r="AK1016" t="s">
        <v>3009</v>
      </c>
    </row>
    <row r="1017" spans="1:37" x14ac:dyDescent="0.3">
      <c r="A1017">
        <v>8013</v>
      </c>
      <c r="B1017" s="207">
        <v>46121</v>
      </c>
      <c r="C1017" t="s">
        <v>3004</v>
      </c>
      <c r="D1017" t="s">
        <v>3217</v>
      </c>
      <c r="E1017" t="s">
        <v>3218</v>
      </c>
      <c r="F1017" s="207">
        <v>46815</v>
      </c>
      <c r="G1017">
        <v>3.512</v>
      </c>
      <c r="H1017">
        <v>10000000</v>
      </c>
      <c r="I1017">
        <v>9929006522</v>
      </c>
      <c r="J1017">
        <v>3.7669999999999999</v>
      </c>
      <c r="K1017">
        <v>9987</v>
      </c>
      <c r="L1017">
        <v>9987000000</v>
      </c>
      <c r="M1017">
        <v>23636957</v>
      </c>
      <c r="N1017">
        <v>34356521</v>
      </c>
      <c r="O1017">
        <v>2863043</v>
      </c>
      <c r="P1017">
        <v>0</v>
      </c>
      <c r="Q1017">
        <v>31493478</v>
      </c>
      <c r="S1017">
        <v>0</v>
      </c>
      <c r="T1017">
        <v>400820</v>
      </c>
      <c r="U1017">
        <v>40080</v>
      </c>
      <c r="V1017">
        <v>1.8373999999999999</v>
      </c>
      <c r="W1017">
        <v>1.8203</v>
      </c>
      <c r="X1017">
        <v>3.8288000000000002</v>
      </c>
      <c r="Y1017" t="s">
        <v>3219</v>
      </c>
      <c r="Z1017">
        <v>9986.7900000000009</v>
      </c>
      <c r="AA1017" t="s">
        <v>3219</v>
      </c>
      <c r="AB1017">
        <v>9988.7900000000009</v>
      </c>
      <c r="AC1017" t="s">
        <v>3219</v>
      </c>
      <c r="AD1017">
        <v>9987.52</v>
      </c>
      <c r="AE1017" t="s">
        <v>3219</v>
      </c>
      <c r="AF1017" t="s">
        <v>3004</v>
      </c>
      <c r="AG1017" t="s">
        <v>185</v>
      </c>
      <c r="AI1017" t="s">
        <v>186</v>
      </c>
      <c r="AJ1017" t="s">
        <v>3220</v>
      </c>
      <c r="AK1017" t="s">
        <v>3009</v>
      </c>
    </row>
    <row r="1018" spans="1:37" x14ac:dyDescent="0.3">
      <c r="A1018">
        <v>8013</v>
      </c>
      <c r="B1018" s="207">
        <v>46121</v>
      </c>
      <c r="C1018" t="s">
        <v>182</v>
      </c>
      <c r="D1018" t="s">
        <v>3221</v>
      </c>
      <c r="E1018" t="s">
        <v>3222</v>
      </c>
      <c r="F1018" s="207">
        <v>46456</v>
      </c>
      <c r="G1018">
        <v>2.625</v>
      </c>
      <c r="H1018">
        <v>10000000</v>
      </c>
      <c r="I1018">
        <v>9991831492</v>
      </c>
      <c r="J1018">
        <v>2.9089999999999998</v>
      </c>
      <c r="K1018">
        <v>9996</v>
      </c>
      <c r="L1018">
        <v>9996000000</v>
      </c>
      <c r="M1018">
        <v>-17944263</v>
      </c>
      <c r="N1018">
        <v>22112771</v>
      </c>
      <c r="O1018">
        <v>22112771</v>
      </c>
      <c r="P1018">
        <v>0</v>
      </c>
      <c r="Q1018">
        <v>0</v>
      </c>
      <c r="S1018">
        <v>0</v>
      </c>
      <c r="T1018">
        <v>3095780</v>
      </c>
      <c r="U1018">
        <v>309570</v>
      </c>
      <c r="V1018">
        <v>0.91053333329999997</v>
      </c>
      <c r="W1018">
        <v>0.89746666659999996</v>
      </c>
      <c r="X1018">
        <v>1.2396</v>
      </c>
      <c r="Z1018">
        <v>9996.7099999999991</v>
      </c>
      <c r="AB1018">
        <v>9995.6299999999992</v>
      </c>
      <c r="AD1018">
        <v>9996.7099999999991</v>
      </c>
      <c r="AF1018" t="s">
        <v>182</v>
      </c>
      <c r="AG1018" t="s">
        <v>185</v>
      </c>
      <c r="AI1018" t="s">
        <v>186</v>
      </c>
      <c r="AJ1018" t="s">
        <v>3223</v>
      </c>
      <c r="AK1018" t="s">
        <v>188</v>
      </c>
    </row>
    <row r="1019" spans="1:37" x14ac:dyDescent="0.3">
      <c r="A1019">
        <v>8013</v>
      </c>
      <c r="B1019" s="207">
        <v>46121</v>
      </c>
      <c r="C1019" t="s">
        <v>3224</v>
      </c>
      <c r="D1019" t="s">
        <v>3225</v>
      </c>
      <c r="E1019" t="s">
        <v>3226</v>
      </c>
      <c r="F1019" s="207">
        <v>46389</v>
      </c>
      <c r="G1019">
        <v>2.7</v>
      </c>
      <c r="H1019">
        <v>40000000</v>
      </c>
      <c r="I1019">
        <v>40048934784</v>
      </c>
      <c r="J1019">
        <v>2.6949999999999998</v>
      </c>
      <c r="K1019">
        <v>10006</v>
      </c>
      <c r="L1019">
        <v>40024000000</v>
      </c>
      <c r="M1019">
        <v>-48671046</v>
      </c>
      <c r="N1019">
        <v>23736262</v>
      </c>
      <c r="O1019">
        <v>23736262</v>
      </c>
      <c r="P1019">
        <v>0</v>
      </c>
      <c r="Q1019">
        <v>0</v>
      </c>
      <c r="S1019">
        <v>0</v>
      </c>
      <c r="T1019">
        <v>3323060</v>
      </c>
      <c r="U1019">
        <v>332300</v>
      </c>
      <c r="V1019">
        <v>0.72396666659999998</v>
      </c>
      <c r="W1019">
        <v>0.71913333329999996</v>
      </c>
      <c r="X1019">
        <v>0.69610000000000005</v>
      </c>
      <c r="Z1019">
        <v>10005.39</v>
      </c>
      <c r="AB1019">
        <v>10006.969999999999</v>
      </c>
      <c r="AD1019">
        <v>10006.25</v>
      </c>
      <c r="AF1019" t="s">
        <v>3066</v>
      </c>
      <c r="AG1019" t="s">
        <v>185</v>
      </c>
      <c r="AI1019" t="s">
        <v>186</v>
      </c>
      <c r="AJ1019" t="s">
        <v>3227</v>
      </c>
      <c r="AK1019" t="s">
        <v>188</v>
      </c>
    </row>
    <row r="1020" spans="1:37" x14ac:dyDescent="0.3">
      <c r="A1020">
        <v>8013</v>
      </c>
      <c r="B1020" s="207">
        <v>46121</v>
      </c>
      <c r="C1020" t="s">
        <v>3224</v>
      </c>
      <c r="D1020" t="s">
        <v>3228</v>
      </c>
      <c r="E1020" t="s">
        <v>3229</v>
      </c>
      <c r="F1020" s="207">
        <v>46449</v>
      </c>
      <c r="G1020">
        <v>3.43</v>
      </c>
      <c r="H1020">
        <v>10000000</v>
      </c>
      <c r="I1020">
        <v>10063127718</v>
      </c>
      <c r="J1020">
        <v>2.653</v>
      </c>
      <c r="K1020">
        <v>10103</v>
      </c>
      <c r="L1020">
        <v>10103000000</v>
      </c>
      <c r="M1020">
        <v>4453804</v>
      </c>
      <c r="N1020">
        <v>35418478</v>
      </c>
      <c r="O1020">
        <v>2796196</v>
      </c>
      <c r="P1020">
        <v>0</v>
      </c>
      <c r="Q1020">
        <v>32622282</v>
      </c>
      <c r="S1020">
        <v>0</v>
      </c>
      <c r="T1020">
        <v>391460</v>
      </c>
      <c r="U1020">
        <v>39140</v>
      </c>
      <c r="V1020">
        <v>0.88513333329999999</v>
      </c>
      <c r="W1020">
        <v>0.87933333329999996</v>
      </c>
      <c r="X1020">
        <v>0.99373333330000002</v>
      </c>
      <c r="Z1020">
        <v>10104.01</v>
      </c>
      <c r="AB1020">
        <v>10104.450000000001</v>
      </c>
      <c r="AD1020">
        <v>10103.299999999999</v>
      </c>
      <c r="AF1020" t="s">
        <v>3066</v>
      </c>
      <c r="AG1020" t="s">
        <v>185</v>
      </c>
      <c r="AI1020" t="s">
        <v>186</v>
      </c>
      <c r="AJ1020" t="s">
        <v>3230</v>
      </c>
      <c r="AK1020" t="s">
        <v>188</v>
      </c>
    </row>
    <row r="1021" spans="1:37" x14ac:dyDescent="0.3">
      <c r="A1021">
        <v>8013</v>
      </c>
      <c r="B1021" s="207">
        <v>46121</v>
      </c>
      <c r="C1021" t="s">
        <v>3004</v>
      </c>
      <c r="D1021" t="s">
        <v>3231</v>
      </c>
      <c r="E1021" t="s">
        <v>3232</v>
      </c>
      <c r="F1021" s="207">
        <v>46400</v>
      </c>
      <c r="G1021">
        <v>2.63</v>
      </c>
      <c r="H1021">
        <v>10000000</v>
      </c>
      <c r="I1021">
        <v>9718326028</v>
      </c>
      <c r="J1021">
        <v>2.9169999999999998</v>
      </c>
      <c r="K1021">
        <v>9782</v>
      </c>
      <c r="L1021">
        <v>9782000000</v>
      </c>
      <c r="M1021">
        <v>986301</v>
      </c>
      <c r="N1021">
        <v>62687671</v>
      </c>
      <c r="O1021">
        <v>18013699</v>
      </c>
      <c r="P1021">
        <v>0</v>
      </c>
      <c r="Q1021">
        <v>44673972</v>
      </c>
      <c r="S1021">
        <v>0</v>
      </c>
      <c r="T1021">
        <v>2521910</v>
      </c>
      <c r="U1021">
        <v>252190</v>
      </c>
      <c r="V1021">
        <v>0.76253333329999995</v>
      </c>
      <c r="W1021">
        <v>0.74260000000000004</v>
      </c>
      <c r="X1021">
        <v>1.2167666666000001</v>
      </c>
      <c r="Y1021" t="s">
        <v>3007</v>
      </c>
      <c r="Z1021">
        <v>9782.73</v>
      </c>
      <c r="AA1021" t="s">
        <v>3007</v>
      </c>
      <c r="AB1021">
        <v>9782.94</v>
      </c>
      <c r="AC1021" t="s">
        <v>3007</v>
      </c>
      <c r="AD1021">
        <v>9782.2900000000009</v>
      </c>
      <c r="AE1021" t="s">
        <v>3007</v>
      </c>
      <c r="AF1021" t="s">
        <v>3066</v>
      </c>
      <c r="AG1021" t="s">
        <v>185</v>
      </c>
      <c r="AI1021" t="s">
        <v>186</v>
      </c>
      <c r="AJ1021" t="s">
        <v>3233</v>
      </c>
      <c r="AK1021" t="s">
        <v>3009</v>
      </c>
    </row>
    <row r="1022" spans="1:37" x14ac:dyDescent="0.3">
      <c r="A1022">
        <v>8013</v>
      </c>
      <c r="B1022" s="207">
        <v>46121</v>
      </c>
      <c r="C1022" t="s">
        <v>3004</v>
      </c>
      <c r="D1022" t="s">
        <v>3234</v>
      </c>
      <c r="E1022" t="s">
        <v>3235</v>
      </c>
      <c r="F1022" s="207">
        <v>46268</v>
      </c>
      <c r="G1022">
        <v>3.28</v>
      </c>
      <c r="H1022">
        <v>20000000</v>
      </c>
      <c r="I1022">
        <v>20048577778</v>
      </c>
      <c r="J1022">
        <v>2.8149999999999999</v>
      </c>
      <c r="K1022">
        <v>10052</v>
      </c>
      <c r="L1022">
        <v>20104000000</v>
      </c>
      <c r="M1022">
        <v>-12316908</v>
      </c>
      <c r="N1022">
        <v>67739130</v>
      </c>
      <c r="O1022">
        <v>67739130</v>
      </c>
      <c r="P1022">
        <v>0</v>
      </c>
      <c r="Q1022">
        <v>0</v>
      </c>
      <c r="S1022">
        <v>0</v>
      </c>
      <c r="T1022">
        <v>9483470</v>
      </c>
      <c r="U1022">
        <v>948340</v>
      </c>
      <c r="V1022">
        <v>0.39573333329999999</v>
      </c>
      <c r="W1022">
        <v>0.39300000000000002</v>
      </c>
      <c r="X1022">
        <v>0.2475</v>
      </c>
      <c r="Y1022" t="s">
        <v>3007</v>
      </c>
      <c r="Z1022">
        <v>10052.290000000001</v>
      </c>
      <c r="AA1022" t="s">
        <v>3007</v>
      </c>
      <c r="AB1022">
        <v>10052.14</v>
      </c>
      <c r="AC1022" t="s">
        <v>3007</v>
      </c>
      <c r="AD1022">
        <v>10051.620000000001</v>
      </c>
      <c r="AE1022" t="s">
        <v>3007</v>
      </c>
      <c r="AF1022" t="s">
        <v>3066</v>
      </c>
      <c r="AG1022" t="s">
        <v>185</v>
      </c>
      <c r="AI1022" t="s">
        <v>186</v>
      </c>
      <c r="AJ1022" t="s">
        <v>3236</v>
      </c>
      <c r="AK1022" t="s">
        <v>3009</v>
      </c>
    </row>
    <row r="1023" spans="1:37" x14ac:dyDescent="0.3">
      <c r="A1023">
        <v>8013</v>
      </c>
      <c r="B1023" s="207">
        <v>46121</v>
      </c>
      <c r="C1023" t="s">
        <v>3004</v>
      </c>
      <c r="D1023" t="s">
        <v>3237</v>
      </c>
      <c r="E1023" t="s">
        <v>3238</v>
      </c>
      <c r="F1023" s="207">
        <v>46273</v>
      </c>
      <c r="G1023">
        <v>4.0999999999999996</v>
      </c>
      <c r="H1023">
        <v>10000000</v>
      </c>
      <c r="I1023">
        <v>10059744566</v>
      </c>
      <c r="J1023">
        <v>2.8180000000000001</v>
      </c>
      <c r="K1023">
        <v>10088</v>
      </c>
      <c r="L1023">
        <v>10088000000</v>
      </c>
      <c r="M1023">
        <v>-8510870</v>
      </c>
      <c r="N1023">
        <v>36766304</v>
      </c>
      <c r="O1023">
        <v>24510870</v>
      </c>
      <c r="P1023">
        <v>0</v>
      </c>
      <c r="Q1023">
        <v>12255434</v>
      </c>
      <c r="S1023">
        <v>0</v>
      </c>
      <c r="T1023">
        <v>3431520</v>
      </c>
      <c r="U1023">
        <v>343150</v>
      </c>
      <c r="V1023">
        <v>0.40883333329999999</v>
      </c>
      <c r="W1023">
        <v>0.40593333329999998</v>
      </c>
      <c r="X1023">
        <v>0.26150000000000001</v>
      </c>
      <c r="Y1023" t="s">
        <v>3007</v>
      </c>
      <c r="Z1023">
        <v>10088.99</v>
      </c>
      <c r="AA1023" t="s">
        <v>3007</v>
      </c>
      <c r="AB1023">
        <v>10088.86</v>
      </c>
      <c r="AC1023" t="s">
        <v>3007</v>
      </c>
      <c r="AD1023">
        <v>10088.290000000001</v>
      </c>
      <c r="AE1023" t="s">
        <v>3007</v>
      </c>
      <c r="AF1023" t="s">
        <v>3066</v>
      </c>
      <c r="AG1023" t="s">
        <v>185</v>
      </c>
      <c r="AI1023" t="s">
        <v>186</v>
      </c>
      <c r="AJ1023" t="s">
        <v>3239</v>
      </c>
      <c r="AK1023" t="s">
        <v>3009</v>
      </c>
    </row>
    <row r="1024" spans="1:37" x14ac:dyDescent="0.3">
      <c r="A1024">
        <v>8013</v>
      </c>
      <c r="B1024" s="207">
        <v>46121</v>
      </c>
      <c r="C1024" t="s">
        <v>3004</v>
      </c>
      <c r="D1024" t="s">
        <v>3240</v>
      </c>
      <c r="E1024" t="s">
        <v>3241</v>
      </c>
      <c r="F1024" s="207">
        <v>46138</v>
      </c>
      <c r="G1024">
        <v>3.54</v>
      </c>
      <c r="H1024">
        <v>20000000</v>
      </c>
      <c r="I1024">
        <v>20045097827</v>
      </c>
      <c r="J1024">
        <v>2.7320000000000002</v>
      </c>
      <c r="K1024">
        <v>10076</v>
      </c>
      <c r="L1024">
        <v>20152000000</v>
      </c>
      <c r="M1024">
        <v>-38631160</v>
      </c>
      <c r="N1024">
        <v>145533333</v>
      </c>
      <c r="O1024">
        <v>145533333</v>
      </c>
      <c r="P1024">
        <v>0</v>
      </c>
      <c r="Q1024">
        <v>0</v>
      </c>
      <c r="S1024">
        <v>0</v>
      </c>
      <c r="T1024">
        <v>20374660</v>
      </c>
      <c r="U1024">
        <v>2037460</v>
      </c>
      <c r="V1024">
        <v>4.5433333300000003E-2</v>
      </c>
      <c r="W1024">
        <v>4.5133333300000002E-2</v>
      </c>
      <c r="X1024">
        <v>1.0200000000000001E-2</v>
      </c>
      <c r="Y1024" t="s">
        <v>3007</v>
      </c>
      <c r="Z1024">
        <v>10076.299999999999</v>
      </c>
      <c r="AA1024" t="s">
        <v>3007</v>
      </c>
      <c r="AB1024">
        <v>10076.26</v>
      </c>
      <c r="AC1024" t="s">
        <v>3007</v>
      </c>
      <c r="AD1024">
        <v>10076.23</v>
      </c>
      <c r="AE1024" t="s">
        <v>3007</v>
      </c>
      <c r="AF1024" t="s">
        <v>3066</v>
      </c>
      <c r="AG1024" t="s">
        <v>185</v>
      </c>
      <c r="AI1024" t="s">
        <v>186</v>
      </c>
      <c r="AJ1024" t="s">
        <v>3242</v>
      </c>
      <c r="AK1024" t="s">
        <v>3009</v>
      </c>
    </row>
    <row r="1025" spans="1:37" x14ac:dyDescent="0.3">
      <c r="A1025">
        <v>8013</v>
      </c>
      <c r="B1025" s="207">
        <v>46121</v>
      </c>
      <c r="C1025" t="s">
        <v>3004</v>
      </c>
      <c r="D1025" t="s">
        <v>3243</v>
      </c>
      <c r="E1025" t="s">
        <v>3244</v>
      </c>
      <c r="F1025" s="207">
        <v>46252</v>
      </c>
      <c r="G1025">
        <v>4.0599999999999996</v>
      </c>
      <c r="H1025">
        <v>10000000</v>
      </c>
      <c r="I1025">
        <v>10050615169</v>
      </c>
      <c r="J1025">
        <v>2.8029999999999999</v>
      </c>
      <c r="K1025">
        <v>10102</v>
      </c>
      <c r="L1025">
        <v>10102000000</v>
      </c>
      <c r="M1025">
        <v>-6778090</v>
      </c>
      <c r="N1025">
        <v>58162921</v>
      </c>
      <c r="O1025">
        <v>20528090</v>
      </c>
      <c r="P1025">
        <v>0</v>
      </c>
      <c r="Q1025">
        <v>37634831</v>
      </c>
      <c r="S1025">
        <v>0</v>
      </c>
      <c r="T1025">
        <v>2873930</v>
      </c>
      <c r="U1025">
        <v>287390</v>
      </c>
      <c r="V1025">
        <v>0.3553</v>
      </c>
      <c r="W1025">
        <v>0.35286666659999999</v>
      </c>
      <c r="X1025">
        <v>0.2077</v>
      </c>
      <c r="Y1025" t="s">
        <v>3007</v>
      </c>
      <c r="Z1025">
        <v>10102.69</v>
      </c>
      <c r="AA1025" t="s">
        <v>3007</v>
      </c>
      <c r="AB1025">
        <v>10102.58</v>
      </c>
      <c r="AC1025" t="s">
        <v>3007</v>
      </c>
      <c r="AD1025">
        <v>10102.120000000001</v>
      </c>
      <c r="AE1025" t="s">
        <v>3007</v>
      </c>
      <c r="AF1025" t="s">
        <v>3066</v>
      </c>
      <c r="AG1025" t="s">
        <v>185</v>
      </c>
      <c r="AI1025" t="s">
        <v>186</v>
      </c>
      <c r="AJ1025" t="s">
        <v>3245</v>
      </c>
      <c r="AK1025" t="s">
        <v>3009</v>
      </c>
    </row>
    <row r="1026" spans="1:37" x14ac:dyDescent="0.3">
      <c r="A1026">
        <v>8013</v>
      </c>
      <c r="B1026" s="207">
        <v>46121</v>
      </c>
      <c r="C1026" t="s">
        <v>3004</v>
      </c>
      <c r="D1026" t="s">
        <v>3246</v>
      </c>
      <c r="E1026" t="s">
        <v>3247</v>
      </c>
      <c r="F1026" s="207">
        <v>46376</v>
      </c>
      <c r="G1026">
        <v>2.9</v>
      </c>
      <c r="H1026">
        <v>10000000</v>
      </c>
      <c r="I1026">
        <v>10010333334</v>
      </c>
      <c r="J1026">
        <v>2.895</v>
      </c>
      <c r="K1026">
        <v>10016</v>
      </c>
      <c r="L1026">
        <v>10016000000</v>
      </c>
      <c r="M1026">
        <v>-10882247</v>
      </c>
      <c r="N1026">
        <v>16548913</v>
      </c>
      <c r="O1026">
        <v>16548913</v>
      </c>
      <c r="P1026">
        <v>0</v>
      </c>
      <c r="Q1026">
        <v>0</v>
      </c>
      <c r="S1026">
        <v>0</v>
      </c>
      <c r="T1026">
        <v>2316840</v>
      </c>
      <c r="U1026">
        <v>231680</v>
      </c>
      <c r="V1026">
        <v>0.68856666659999999</v>
      </c>
      <c r="W1026">
        <v>0.68359999999999999</v>
      </c>
      <c r="X1026">
        <v>0.63556666660000005</v>
      </c>
      <c r="Y1026" t="s">
        <v>3007</v>
      </c>
      <c r="Z1026">
        <v>10016.86</v>
      </c>
      <c r="AA1026" t="s">
        <v>3007</v>
      </c>
      <c r="AB1026">
        <v>10017</v>
      </c>
      <c r="AC1026" t="s">
        <v>3007</v>
      </c>
      <c r="AD1026">
        <v>10016.379999999999</v>
      </c>
      <c r="AE1026" t="s">
        <v>3007</v>
      </c>
      <c r="AF1026" t="s">
        <v>3066</v>
      </c>
      <c r="AG1026" t="s">
        <v>185</v>
      </c>
      <c r="AI1026" t="s">
        <v>186</v>
      </c>
      <c r="AJ1026" t="s">
        <v>3248</v>
      </c>
      <c r="AK1026" t="s">
        <v>3009</v>
      </c>
    </row>
    <row r="1027" spans="1:37" x14ac:dyDescent="0.3">
      <c r="A1027">
        <v>8013</v>
      </c>
      <c r="B1027" s="207">
        <v>46121</v>
      </c>
      <c r="C1027" t="s">
        <v>3004</v>
      </c>
      <c r="D1027" t="s">
        <v>3249</v>
      </c>
      <c r="E1027" t="s">
        <v>3250</v>
      </c>
      <c r="F1027" s="207">
        <v>46431</v>
      </c>
      <c r="G1027">
        <v>2.85</v>
      </c>
      <c r="H1027">
        <v>10000000</v>
      </c>
      <c r="I1027">
        <v>9736000000</v>
      </c>
      <c r="J1027">
        <v>2.968</v>
      </c>
      <c r="K1027">
        <v>9754</v>
      </c>
      <c r="L1027">
        <v>9754000000</v>
      </c>
      <c r="M1027">
        <v>-3863013</v>
      </c>
      <c r="N1027">
        <v>21863013</v>
      </c>
      <c r="O1027">
        <v>21863013</v>
      </c>
      <c r="P1027">
        <v>0</v>
      </c>
      <c r="Q1027">
        <v>0</v>
      </c>
      <c r="S1027">
        <v>0</v>
      </c>
      <c r="T1027">
        <v>3060820</v>
      </c>
      <c r="U1027">
        <v>306080</v>
      </c>
      <c r="V1027">
        <v>0.84750000000000003</v>
      </c>
      <c r="W1027">
        <v>0.82426666660000003</v>
      </c>
      <c r="X1027">
        <v>1.4399333333</v>
      </c>
      <c r="Y1027" t="s">
        <v>3007</v>
      </c>
      <c r="Z1027">
        <v>9754.9699999999993</v>
      </c>
      <c r="AA1027" t="s">
        <v>3007</v>
      </c>
      <c r="AB1027">
        <v>9755.2099999999991</v>
      </c>
      <c r="AC1027" t="s">
        <v>3007</v>
      </c>
      <c r="AD1027">
        <v>9754.41</v>
      </c>
      <c r="AE1027" t="s">
        <v>3007</v>
      </c>
      <c r="AF1027" t="s">
        <v>3066</v>
      </c>
      <c r="AG1027" t="s">
        <v>185</v>
      </c>
      <c r="AI1027" t="s">
        <v>186</v>
      </c>
      <c r="AJ1027" t="s">
        <v>3251</v>
      </c>
      <c r="AK1027" t="s">
        <v>3009</v>
      </c>
    </row>
    <row r="1028" spans="1:37" x14ac:dyDescent="0.3">
      <c r="A1028">
        <v>8013</v>
      </c>
      <c r="B1028" s="207">
        <v>46121</v>
      </c>
      <c r="C1028" t="s">
        <v>3004</v>
      </c>
      <c r="D1028" t="s">
        <v>3252</v>
      </c>
      <c r="E1028" t="s">
        <v>3253</v>
      </c>
      <c r="F1028" s="207">
        <v>46430</v>
      </c>
      <c r="G1028">
        <v>2.88</v>
      </c>
      <c r="H1028">
        <v>20000000</v>
      </c>
      <c r="I1028">
        <v>19437610274</v>
      </c>
      <c r="J1028">
        <v>2.9670000000000001</v>
      </c>
      <c r="K1028">
        <v>9755</v>
      </c>
      <c r="L1028">
        <v>19510000000</v>
      </c>
      <c r="M1028">
        <v>-17560958</v>
      </c>
      <c r="N1028">
        <v>89950684</v>
      </c>
      <c r="O1028">
        <v>56810958</v>
      </c>
      <c r="P1028">
        <v>0</v>
      </c>
      <c r="Q1028">
        <v>33139726</v>
      </c>
      <c r="S1028">
        <v>0</v>
      </c>
      <c r="T1028">
        <v>7953530</v>
      </c>
      <c r="U1028">
        <v>795350</v>
      </c>
      <c r="V1028">
        <v>0.8447333333</v>
      </c>
      <c r="W1028">
        <v>0.82166666659999998</v>
      </c>
      <c r="X1028">
        <v>1.4324666666000001</v>
      </c>
      <c r="Y1028" t="s">
        <v>3007</v>
      </c>
      <c r="Z1028">
        <v>9755.82</v>
      </c>
      <c r="AA1028" t="s">
        <v>3007</v>
      </c>
      <c r="AB1028">
        <v>9756.07</v>
      </c>
      <c r="AC1028" t="s">
        <v>3007</v>
      </c>
      <c r="AD1028">
        <v>9755.34</v>
      </c>
      <c r="AE1028" t="s">
        <v>3007</v>
      </c>
      <c r="AF1028" t="s">
        <v>3066</v>
      </c>
      <c r="AG1028" t="s">
        <v>185</v>
      </c>
      <c r="AI1028" t="s">
        <v>186</v>
      </c>
      <c r="AJ1028" t="s">
        <v>3254</v>
      </c>
      <c r="AK1028" t="s">
        <v>3009</v>
      </c>
    </row>
    <row r="1029" spans="1:37" x14ac:dyDescent="0.3">
      <c r="A1029">
        <v>8013</v>
      </c>
      <c r="B1029" s="207">
        <v>46121</v>
      </c>
      <c r="C1029" t="s">
        <v>3004</v>
      </c>
      <c r="D1029" t="s">
        <v>3255</v>
      </c>
      <c r="E1029" t="s">
        <v>3256</v>
      </c>
      <c r="F1029" s="207">
        <v>46196</v>
      </c>
      <c r="G1029">
        <v>2.44</v>
      </c>
      <c r="H1029">
        <v>10000000</v>
      </c>
      <c r="I1029">
        <v>9748495891</v>
      </c>
      <c r="J1029">
        <v>2.762</v>
      </c>
      <c r="K1029">
        <v>9944</v>
      </c>
      <c r="L1029">
        <v>9944000000</v>
      </c>
      <c r="M1029">
        <v>972603</v>
      </c>
      <c r="N1029">
        <v>194531506</v>
      </c>
      <c r="O1029">
        <v>10027397</v>
      </c>
      <c r="P1029">
        <v>0</v>
      </c>
      <c r="Q1029">
        <v>184504109</v>
      </c>
      <c r="S1029">
        <v>0</v>
      </c>
      <c r="T1029">
        <v>1403830</v>
      </c>
      <c r="U1029">
        <v>140380</v>
      </c>
      <c r="V1029">
        <v>0.2036333333</v>
      </c>
      <c r="W1029">
        <v>0.19963333329999999</v>
      </c>
      <c r="X1029">
        <v>0.18226666659999999</v>
      </c>
      <c r="Y1029" t="s">
        <v>3007</v>
      </c>
      <c r="Z1029">
        <v>9944.4699999999993</v>
      </c>
      <c r="AA1029" t="s">
        <v>3007</v>
      </c>
      <c r="AB1029">
        <v>9944.31</v>
      </c>
      <c r="AC1029" t="s">
        <v>3007</v>
      </c>
      <c r="AD1029">
        <v>9944.11</v>
      </c>
      <c r="AE1029" t="s">
        <v>3007</v>
      </c>
      <c r="AF1029" t="s">
        <v>3066</v>
      </c>
      <c r="AG1029" t="s">
        <v>185</v>
      </c>
      <c r="AI1029" t="s">
        <v>186</v>
      </c>
      <c r="AJ1029" t="s">
        <v>3257</v>
      </c>
      <c r="AK1029" t="s">
        <v>3009</v>
      </c>
    </row>
    <row r="1030" spans="1:37" x14ac:dyDescent="0.3">
      <c r="A1030">
        <v>8013</v>
      </c>
      <c r="B1030" s="207">
        <v>46121</v>
      </c>
      <c r="C1030" t="s">
        <v>3004</v>
      </c>
      <c r="D1030" t="s">
        <v>3258</v>
      </c>
      <c r="E1030" t="s">
        <v>3259</v>
      </c>
      <c r="F1030" s="207">
        <v>46129</v>
      </c>
      <c r="G1030">
        <v>3.15</v>
      </c>
      <c r="H1030">
        <v>10000000</v>
      </c>
      <c r="I1030">
        <v>10009945653</v>
      </c>
      <c r="J1030">
        <v>2.7269999999999999</v>
      </c>
      <c r="K1030">
        <v>10073</v>
      </c>
      <c r="L1030">
        <v>10073000000</v>
      </c>
      <c r="M1030">
        <v>-9570653</v>
      </c>
      <c r="N1030">
        <v>72625000</v>
      </c>
      <c r="O1030">
        <v>72625000</v>
      </c>
      <c r="P1030">
        <v>0</v>
      </c>
      <c r="Q1030">
        <v>0</v>
      </c>
      <c r="S1030">
        <v>0</v>
      </c>
      <c r="T1030">
        <v>10167500</v>
      </c>
      <c r="U1030">
        <v>1016750</v>
      </c>
      <c r="V1030">
        <v>2.0400000000000001E-2</v>
      </c>
      <c r="W1030">
        <v>2.02666666E-2</v>
      </c>
      <c r="X1030">
        <v>4.0000000000000001E-3</v>
      </c>
      <c r="Y1030" t="s">
        <v>3007</v>
      </c>
      <c r="Z1030">
        <v>10073.42</v>
      </c>
      <c r="AA1030" t="s">
        <v>3007</v>
      </c>
      <c r="AB1030">
        <v>10073.4</v>
      </c>
      <c r="AC1030" t="s">
        <v>3007</v>
      </c>
      <c r="AD1030">
        <v>10073.39</v>
      </c>
      <c r="AE1030" t="s">
        <v>3007</v>
      </c>
      <c r="AF1030" t="s">
        <v>3066</v>
      </c>
      <c r="AG1030" t="s">
        <v>185</v>
      </c>
      <c r="AI1030" t="s">
        <v>186</v>
      </c>
      <c r="AJ1030" t="s">
        <v>3260</v>
      </c>
      <c r="AK1030" t="s">
        <v>3009</v>
      </c>
    </row>
    <row r="1031" spans="1:37" x14ac:dyDescent="0.3">
      <c r="A1031">
        <v>8013</v>
      </c>
      <c r="B1031" s="207">
        <v>46121</v>
      </c>
      <c r="C1031" t="s">
        <v>3004</v>
      </c>
      <c r="D1031" t="s">
        <v>3261</v>
      </c>
      <c r="E1031" t="s">
        <v>3262</v>
      </c>
      <c r="F1031" s="207">
        <v>46136</v>
      </c>
      <c r="G1031">
        <v>2.5</v>
      </c>
      <c r="H1031">
        <v>10000000</v>
      </c>
      <c r="I1031">
        <v>9741397261</v>
      </c>
      <c r="J1031">
        <v>2.7330000000000001</v>
      </c>
      <c r="K1031">
        <v>9989</v>
      </c>
      <c r="L1031">
        <v>9989000000</v>
      </c>
      <c r="M1031">
        <v>7191781</v>
      </c>
      <c r="N1031">
        <v>240410958</v>
      </c>
      <c r="O1031">
        <v>67808219</v>
      </c>
      <c r="P1031">
        <v>2054794</v>
      </c>
      <c r="Q1031">
        <v>170547945</v>
      </c>
      <c r="S1031">
        <v>0</v>
      </c>
      <c r="T1031">
        <v>9780820</v>
      </c>
      <c r="U1031">
        <v>978080</v>
      </c>
      <c r="V1031">
        <v>3.9300000000000002E-2</v>
      </c>
      <c r="W1031">
        <v>3.85333333E-2</v>
      </c>
      <c r="X1031">
        <v>2.70333333E-2</v>
      </c>
      <c r="Y1031" t="s">
        <v>3007</v>
      </c>
      <c r="Z1031">
        <v>9989.5400000000009</v>
      </c>
      <c r="AA1031" t="s">
        <v>3007</v>
      </c>
      <c r="AB1031">
        <v>9989.5300000000007</v>
      </c>
      <c r="AC1031" t="s">
        <v>3007</v>
      </c>
      <c r="AD1031">
        <v>9989.5</v>
      </c>
      <c r="AE1031" t="s">
        <v>3007</v>
      </c>
      <c r="AF1031" t="s">
        <v>3066</v>
      </c>
      <c r="AG1031" t="s">
        <v>185</v>
      </c>
      <c r="AI1031" t="s">
        <v>186</v>
      </c>
      <c r="AJ1031" t="s">
        <v>3263</v>
      </c>
      <c r="AK1031" t="s">
        <v>3009</v>
      </c>
    </row>
    <row r="1032" spans="1:37" x14ac:dyDescent="0.3">
      <c r="A1032">
        <v>8013</v>
      </c>
      <c r="B1032" s="207">
        <v>46121</v>
      </c>
      <c r="C1032" t="s">
        <v>3004</v>
      </c>
      <c r="D1032" t="s">
        <v>3264</v>
      </c>
      <c r="E1032" t="s">
        <v>3265</v>
      </c>
      <c r="F1032" s="207">
        <v>46255</v>
      </c>
      <c r="G1032">
        <v>3.2</v>
      </c>
      <c r="H1032">
        <v>30000000</v>
      </c>
      <c r="I1032">
        <v>30059869566</v>
      </c>
      <c r="J1032">
        <v>2.806</v>
      </c>
      <c r="K1032">
        <v>10057</v>
      </c>
      <c r="L1032">
        <v>30171000000</v>
      </c>
      <c r="M1032">
        <v>-18307768</v>
      </c>
      <c r="N1032">
        <v>129438202</v>
      </c>
      <c r="O1032">
        <v>129438202</v>
      </c>
      <c r="P1032">
        <v>0</v>
      </c>
      <c r="Q1032">
        <v>0</v>
      </c>
      <c r="S1032">
        <v>0</v>
      </c>
      <c r="T1032">
        <v>18121340</v>
      </c>
      <c r="U1032">
        <v>1812130</v>
      </c>
      <c r="V1032">
        <v>0.36426666660000001</v>
      </c>
      <c r="W1032">
        <v>0.36173333330000002</v>
      </c>
      <c r="X1032">
        <v>0.21603333329999999</v>
      </c>
      <c r="Y1032" t="s">
        <v>3007</v>
      </c>
      <c r="Z1032">
        <v>10057.459999999999</v>
      </c>
      <c r="AA1032" t="s">
        <v>3007</v>
      </c>
      <c r="AB1032">
        <v>10057.42</v>
      </c>
      <c r="AC1032" t="s">
        <v>3007</v>
      </c>
      <c r="AD1032">
        <v>10056.950000000001</v>
      </c>
      <c r="AE1032" t="s">
        <v>3007</v>
      </c>
      <c r="AF1032" t="s">
        <v>3066</v>
      </c>
      <c r="AG1032" t="s">
        <v>185</v>
      </c>
      <c r="AI1032" t="s">
        <v>3112</v>
      </c>
      <c r="AJ1032" t="s">
        <v>3266</v>
      </c>
      <c r="AK1032" t="s">
        <v>3009</v>
      </c>
    </row>
    <row r="1033" spans="1:37" x14ac:dyDescent="0.3">
      <c r="A1033">
        <v>8013</v>
      </c>
      <c r="B1033" s="207">
        <v>46121</v>
      </c>
      <c r="C1033" t="s">
        <v>3066</v>
      </c>
      <c r="D1033" t="s">
        <v>3267</v>
      </c>
      <c r="E1033" t="s">
        <v>3268</v>
      </c>
      <c r="F1033" s="207">
        <v>46297</v>
      </c>
      <c r="G1033">
        <v>3.145</v>
      </c>
      <c r="H1033">
        <v>10000000</v>
      </c>
      <c r="I1033">
        <v>10019375000</v>
      </c>
      <c r="J1033">
        <v>2.875</v>
      </c>
      <c r="K1033">
        <v>10019</v>
      </c>
      <c r="L1033">
        <v>10019000000</v>
      </c>
      <c r="M1033">
        <v>-7249316</v>
      </c>
      <c r="N1033">
        <v>6874316</v>
      </c>
      <c r="O1033">
        <v>6874316</v>
      </c>
      <c r="P1033">
        <v>0</v>
      </c>
      <c r="Q1033">
        <v>0</v>
      </c>
      <c r="S1033">
        <v>0</v>
      </c>
      <c r="T1033">
        <v>962400</v>
      </c>
      <c r="U1033">
        <v>96240</v>
      </c>
      <c r="V1033">
        <v>0.47913333330000002</v>
      </c>
      <c r="W1033">
        <v>0.47236666659999998</v>
      </c>
      <c r="X1033">
        <v>0.4526</v>
      </c>
      <c r="Y1033" t="s">
        <v>3007</v>
      </c>
      <c r="Z1033">
        <v>10019.790000000001</v>
      </c>
      <c r="AA1033" t="s">
        <v>3007</v>
      </c>
      <c r="AB1033">
        <v>10019.27</v>
      </c>
      <c r="AC1033" t="s">
        <v>3007</v>
      </c>
      <c r="AD1033">
        <v>10019.42</v>
      </c>
      <c r="AE1033" t="s">
        <v>3007</v>
      </c>
      <c r="AF1033" t="s">
        <v>3066</v>
      </c>
      <c r="AG1033" t="s">
        <v>185</v>
      </c>
      <c r="AI1033" t="s">
        <v>186</v>
      </c>
      <c r="AJ1033" t="s">
        <v>3269</v>
      </c>
      <c r="AK1033" t="s">
        <v>3009</v>
      </c>
    </row>
    <row r="1034" spans="1:37" x14ac:dyDescent="0.3">
      <c r="A1034">
        <v>8013</v>
      </c>
      <c r="B1034" s="207">
        <v>46121</v>
      </c>
      <c r="C1034" t="s">
        <v>3066</v>
      </c>
      <c r="D1034" t="s">
        <v>3270</v>
      </c>
      <c r="E1034" t="s">
        <v>3271</v>
      </c>
      <c r="F1034" s="207">
        <v>46373</v>
      </c>
      <c r="G1034">
        <v>3</v>
      </c>
      <c r="H1034">
        <v>20000000</v>
      </c>
      <c r="I1034">
        <v>20018601649</v>
      </c>
      <c r="J1034">
        <v>2.9460000000000002</v>
      </c>
      <c r="K1034">
        <v>10097</v>
      </c>
      <c r="L1034">
        <v>20194000000</v>
      </c>
      <c r="M1034">
        <v>-12513735</v>
      </c>
      <c r="N1034">
        <v>187912086</v>
      </c>
      <c r="O1034">
        <v>111263735</v>
      </c>
      <c r="P1034">
        <v>12362637</v>
      </c>
      <c r="Q1034">
        <v>64285714</v>
      </c>
      <c r="S1034">
        <v>0</v>
      </c>
      <c r="T1034">
        <v>17307680</v>
      </c>
      <c r="U1034">
        <v>1730760</v>
      </c>
      <c r="V1034">
        <v>0.68089999999999995</v>
      </c>
      <c r="W1034">
        <v>0.67103333330000003</v>
      </c>
      <c r="X1034">
        <v>0.76543333329999996</v>
      </c>
      <c r="Y1034" t="s">
        <v>3007</v>
      </c>
      <c r="Z1034">
        <v>10096.879999999999</v>
      </c>
      <c r="AA1034" t="s">
        <v>3007</v>
      </c>
      <c r="AB1034">
        <v>10096.75</v>
      </c>
      <c r="AC1034" t="s">
        <v>3007</v>
      </c>
      <c r="AD1034">
        <v>10097.49</v>
      </c>
      <c r="AE1034" t="s">
        <v>3007</v>
      </c>
      <c r="AF1034" t="s">
        <v>3066</v>
      </c>
      <c r="AG1034" t="s">
        <v>185</v>
      </c>
      <c r="AI1034" t="s">
        <v>186</v>
      </c>
      <c r="AJ1034" t="s">
        <v>3272</v>
      </c>
      <c r="AK1034" t="s">
        <v>3009</v>
      </c>
    </row>
    <row r="1035" spans="1:37" x14ac:dyDescent="0.3">
      <c r="A1035">
        <v>8013</v>
      </c>
      <c r="B1035" s="207">
        <v>46121</v>
      </c>
      <c r="C1035" t="s">
        <v>3066</v>
      </c>
      <c r="D1035" t="s">
        <v>3147</v>
      </c>
      <c r="E1035" t="s">
        <v>3148</v>
      </c>
      <c r="F1035" s="207">
        <v>46325</v>
      </c>
      <c r="G1035">
        <v>3.2650000000000001</v>
      </c>
      <c r="H1035">
        <v>10000000</v>
      </c>
      <c r="I1035">
        <v>10030490385</v>
      </c>
      <c r="J1035">
        <v>2.899</v>
      </c>
      <c r="K1035">
        <v>10165</v>
      </c>
      <c r="L1035">
        <v>10165000000</v>
      </c>
      <c r="M1035">
        <v>-10800824</v>
      </c>
      <c r="N1035">
        <v>145310439</v>
      </c>
      <c r="O1035">
        <v>88800824</v>
      </c>
      <c r="P1035">
        <v>56509615</v>
      </c>
      <c r="Q1035">
        <v>0</v>
      </c>
      <c r="S1035">
        <v>0</v>
      </c>
      <c r="T1035">
        <v>20343460</v>
      </c>
      <c r="U1035">
        <v>2034340</v>
      </c>
      <c r="V1035">
        <v>0.54806666660000003</v>
      </c>
      <c r="W1035">
        <v>0.54023333330000001</v>
      </c>
      <c r="X1035">
        <v>0.55396666660000005</v>
      </c>
      <c r="Y1035" t="s">
        <v>3007</v>
      </c>
      <c r="Z1035">
        <v>10165.48</v>
      </c>
      <c r="AA1035" t="s">
        <v>3007</v>
      </c>
      <c r="AB1035">
        <v>10164.709999999999</v>
      </c>
      <c r="AC1035" t="s">
        <v>3007</v>
      </c>
      <c r="AD1035">
        <v>10164.98</v>
      </c>
      <c r="AE1035" t="s">
        <v>3007</v>
      </c>
      <c r="AF1035" t="s">
        <v>3066</v>
      </c>
      <c r="AG1035" t="s">
        <v>185</v>
      </c>
      <c r="AI1035" t="s">
        <v>186</v>
      </c>
      <c r="AJ1035" t="s">
        <v>3149</v>
      </c>
      <c r="AK1035" t="s">
        <v>3009</v>
      </c>
    </row>
    <row r="1036" spans="1:37" x14ac:dyDescent="0.3">
      <c r="A1036">
        <v>8013</v>
      </c>
      <c r="B1036" s="207">
        <v>46121</v>
      </c>
      <c r="C1036" t="s">
        <v>3066</v>
      </c>
      <c r="D1036" t="s">
        <v>3273</v>
      </c>
      <c r="E1036" t="s">
        <v>3274</v>
      </c>
      <c r="F1036" s="207">
        <v>46484</v>
      </c>
      <c r="G1036">
        <v>3.177</v>
      </c>
      <c r="H1036">
        <v>10000000</v>
      </c>
      <c r="I1036">
        <v>10000000000</v>
      </c>
      <c r="J1036">
        <v>3.1110000000000002</v>
      </c>
      <c r="K1036">
        <v>10009</v>
      </c>
      <c r="L1036">
        <v>10009000000</v>
      </c>
      <c r="M1036">
        <v>6381594</v>
      </c>
      <c r="N1036">
        <v>2618406</v>
      </c>
      <c r="O1036">
        <v>2618406</v>
      </c>
      <c r="P1036">
        <v>0</v>
      </c>
      <c r="Q1036">
        <v>0</v>
      </c>
      <c r="S1036">
        <v>0</v>
      </c>
      <c r="T1036">
        <v>366570</v>
      </c>
      <c r="U1036">
        <v>36650</v>
      </c>
      <c r="V1036">
        <v>0.98096666659999998</v>
      </c>
      <c r="W1036">
        <v>0.97336666660000004</v>
      </c>
      <c r="X1036">
        <v>1.4368000000000001</v>
      </c>
      <c r="Y1036" t="s">
        <v>3007</v>
      </c>
      <c r="Z1036">
        <v>10010.09</v>
      </c>
      <c r="AA1036" t="s">
        <v>3007</v>
      </c>
      <c r="AB1036">
        <v>10008.24</v>
      </c>
      <c r="AC1036" t="s">
        <v>3007</v>
      </c>
      <c r="AD1036">
        <v>10008.719999999999</v>
      </c>
      <c r="AE1036" t="s">
        <v>3007</v>
      </c>
      <c r="AF1036" t="s">
        <v>3066</v>
      </c>
      <c r="AG1036" t="s">
        <v>185</v>
      </c>
      <c r="AI1036" t="s">
        <v>3112</v>
      </c>
      <c r="AJ1036" t="s">
        <v>3275</v>
      </c>
      <c r="AK1036" t="s">
        <v>3009</v>
      </c>
    </row>
    <row r="1037" spans="1:37" x14ac:dyDescent="0.3">
      <c r="A1037">
        <v>8013</v>
      </c>
      <c r="B1037" s="207">
        <v>46121</v>
      </c>
      <c r="C1037" t="s">
        <v>3004</v>
      </c>
      <c r="D1037" t="s">
        <v>3276</v>
      </c>
      <c r="E1037" t="s">
        <v>3277</v>
      </c>
      <c r="F1037" s="207">
        <v>46296</v>
      </c>
      <c r="G1037">
        <v>2.48</v>
      </c>
      <c r="H1037">
        <v>10000000</v>
      </c>
      <c r="I1037">
        <v>9731490411</v>
      </c>
      <c r="J1037">
        <v>2.8370000000000002</v>
      </c>
      <c r="K1037">
        <v>9866</v>
      </c>
      <c r="L1037">
        <v>9866000000</v>
      </c>
      <c r="M1037">
        <v>4734247</v>
      </c>
      <c r="N1037">
        <v>129775342</v>
      </c>
      <c r="O1037">
        <v>67265753</v>
      </c>
      <c r="P1037">
        <v>52997261</v>
      </c>
      <c r="Q1037">
        <v>9512328</v>
      </c>
      <c r="S1037">
        <v>0</v>
      </c>
      <c r="T1037">
        <v>16836820</v>
      </c>
      <c r="U1037">
        <v>1683680</v>
      </c>
      <c r="V1037">
        <v>0.47763333330000002</v>
      </c>
      <c r="W1037">
        <v>0.4667</v>
      </c>
      <c r="X1037">
        <v>0.59293333329999998</v>
      </c>
      <c r="Y1037" t="s">
        <v>3007</v>
      </c>
      <c r="Z1037">
        <v>9866.74</v>
      </c>
      <c r="AA1037" t="s">
        <v>3007</v>
      </c>
      <c r="AB1037">
        <v>9866.74</v>
      </c>
      <c r="AC1037" t="s">
        <v>3007</v>
      </c>
      <c r="AD1037">
        <v>9866.14</v>
      </c>
      <c r="AE1037" t="s">
        <v>3007</v>
      </c>
      <c r="AF1037" t="s">
        <v>3066</v>
      </c>
      <c r="AG1037" t="s">
        <v>185</v>
      </c>
      <c r="AI1037" t="s">
        <v>186</v>
      </c>
      <c r="AJ1037" t="s">
        <v>3278</v>
      </c>
      <c r="AK1037" t="s">
        <v>3009</v>
      </c>
    </row>
    <row r="1038" spans="1:37" x14ac:dyDescent="0.3">
      <c r="A1038">
        <v>8013</v>
      </c>
      <c r="B1038" s="207">
        <v>46121</v>
      </c>
      <c r="C1038" t="s">
        <v>3004</v>
      </c>
      <c r="D1038" t="s">
        <v>3279</v>
      </c>
      <c r="E1038" t="s">
        <v>3280</v>
      </c>
      <c r="F1038" s="207">
        <v>46144</v>
      </c>
      <c r="G1038">
        <v>3.69</v>
      </c>
      <c r="H1038">
        <v>10000000</v>
      </c>
      <c r="I1038">
        <v>10028836957</v>
      </c>
      <c r="J1038">
        <v>2.75</v>
      </c>
      <c r="K1038">
        <v>10075</v>
      </c>
      <c r="L1038">
        <v>10075000000</v>
      </c>
      <c r="M1038">
        <v>-23283586</v>
      </c>
      <c r="N1038">
        <v>69446629</v>
      </c>
      <c r="O1038">
        <v>69446629</v>
      </c>
      <c r="P1038">
        <v>0</v>
      </c>
      <c r="Q1038">
        <v>0</v>
      </c>
      <c r="S1038">
        <v>0</v>
      </c>
      <c r="T1038">
        <v>9722520</v>
      </c>
      <c r="U1038">
        <v>972250</v>
      </c>
      <c r="V1038">
        <v>6.2833333300000002E-2</v>
      </c>
      <c r="W1038">
        <v>6.2433333299999998E-2</v>
      </c>
      <c r="X1038">
        <v>1.55333333E-2</v>
      </c>
      <c r="Y1038" t="s">
        <v>3007</v>
      </c>
      <c r="Z1038">
        <v>10075.15</v>
      </c>
      <c r="AA1038" t="s">
        <v>3007</v>
      </c>
      <c r="AB1038">
        <v>10075.120000000001</v>
      </c>
      <c r="AC1038" t="s">
        <v>3007</v>
      </c>
      <c r="AD1038">
        <v>10075.08</v>
      </c>
      <c r="AE1038" t="s">
        <v>3007</v>
      </c>
      <c r="AF1038" t="s">
        <v>3004</v>
      </c>
      <c r="AG1038" t="s">
        <v>185</v>
      </c>
      <c r="AI1038" t="s">
        <v>186</v>
      </c>
      <c r="AJ1038" t="s">
        <v>3281</v>
      </c>
      <c r="AK1038" t="s">
        <v>3009</v>
      </c>
    </row>
    <row r="1039" spans="1:37" x14ac:dyDescent="0.3">
      <c r="A1039">
        <v>8018</v>
      </c>
      <c r="B1039" s="207">
        <v>46121</v>
      </c>
      <c r="C1039" t="s">
        <v>3224</v>
      </c>
      <c r="D1039" t="s">
        <v>3282</v>
      </c>
      <c r="E1039" t="s">
        <v>3283</v>
      </c>
      <c r="F1039" s="207">
        <v>46297</v>
      </c>
      <c r="G1039">
        <v>2.8</v>
      </c>
      <c r="H1039">
        <v>10000000</v>
      </c>
      <c r="I1039">
        <v>10020760870</v>
      </c>
      <c r="J1039">
        <v>2.6440000000000001</v>
      </c>
      <c r="K1039">
        <v>10013</v>
      </c>
      <c r="L1039">
        <v>10013000000</v>
      </c>
      <c r="M1039">
        <v>-13914716</v>
      </c>
      <c r="N1039">
        <v>6153846</v>
      </c>
      <c r="O1039">
        <v>6153846</v>
      </c>
      <c r="P1039">
        <v>0</v>
      </c>
      <c r="Q1039">
        <v>0</v>
      </c>
      <c r="S1039">
        <v>0</v>
      </c>
      <c r="T1039">
        <v>861530</v>
      </c>
      <c r="U1039">
        <v>86150</v>
      </c>
      <c r="V1039">
        <v>0.47723333330000001</v>
      </c>
      <c r="W1039">
        <v>0.47413333330000001</v>
      </c>
      <c r="X1039">
        <v>0.34133333329999999</v>
      </c>
      <c r="Z1039">
        <v>10013.59</v>
      </c>
      <c r="AB1039">
        <v>10013.450000000001</v>
      </c>
      <c r="AD1039">
        <v>10013.450000000001</v>
      </c>
      <c r="AF1039" t="s">
        <v>3066</v>
      </c>
      <c r="AG1039" t="s">
        <v>185</v>
      </c>
      <c r="AI1039" t="s">
        <v>186</v>
      </c>
      <c r="AJ1039" t="s">
        <v>3284</v>
      </c>
      <c r="AK1039" t="s">
        <v>188</v>
      </c>
    </row>
    <row r="1040" spans="1:37" x14ac:dyDescent="0.3">
      <c r="A1040">
        <v>8018</v>
      </c>
      <c r="B1040" s="207">
        <v>46121</v>
      </c>
      <c r="C1040" t="s">
        <v>3224</v>
      </c>
      <c r="D1040" t="s">
        <v>3285</v>
      </c>
      <c r="E1040" t="s">
        <v>3286</v>
      </c>
      <c r="F1040" s="207">
        <v>46570</v>
      </c>
      <c r="G1040">
        <v>2.4</v>
      </c>
      <c r="H1040">
        <v>10000000</v>
      </c>
      <c r="I1040">
        <v>9903166667</v>
      </c>
      <c r="J1040">
        <v>2.988</v>
      </c>
      <c r="K1040">
        <v>9934</v>
      </c>
      <c r="L1040">
        <v>9934000000</v>
      </c>
      <c r="M1040">
        <v>25558608</v>
      </c>
      <c r="N1040">
        <v>5274725</v>
      </c>
      <c r="O1040">
        <v>5274725</v>
      </c>
      <c r="P1040">
        <v>0</v>
      </c>
      <c r="Q1040">
        <v>0</v>
      </c>
      <c r="S1040">
        <v>0</v>
      </c>
      <c r="T1040">
        <v>738460</v>
      </c>
      <c r="U1040">
        <v>73840</v>
      </c>
      <c r="V1040">
        <v>1.2141</v>
      </c>
      <c r="W1040">
        <v>1.2051333333000001</v>
      </c>
      <c r="X1040">
        <v>1.7604666666</v>
      </c>
      <c r="Z1040">
        <v>9934.35</v>
      </c>
      <c r="AB1040">
        <v>9934.35</v>
      </c>
      <c r="AD1040">
        <v>9934.9500000000007</v>
      </c>
      <c r="AF1040" t="s">
        <v>3066</v>
      </c>
      <c r="AG1040" t="s">
        <v>185</v>
      </c>
      <c r="AI1040" t="s">
        <v>186</v>
      </c>
      <c r="AJ1040" t="s">
        <v>3287</v>
      </c>
      <c r="AK1040" t="s">
        <v>188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AB71-0646-4F00-B5DE-CCEA00F6ACB1}">
  <dimension ref="A1:AL9"/>
  <sheetViews>
    <sheetView workbookViewId="0">
      <selection sqref="A1:AL21"/>
    </sheetView>
  </sheetViews>
  <sheetFormatPr defaultRowHeight="16.5" x14ac:dyDescent="0.3"/>
  <cols>
    <col min="2" max="2" width="11.125" bestFit="1" customWidth="1"/>
    <col min="4" max="4" width="11" bestFit="1" customWidth="1"/>
    <col min="5" max="5" width="28.875" bestFit="1" customWidth="1"/>
    <col min="6" max="6" width="11.125" bestFit="1" customWidth="1"/>
    <col min="8" max="8" width="9.5" bestFit="1" customWidth="1"/>
    <col min="9" max="9" width="12.75" bestFit="1" customWidth="1"/>
    <col min="10" max="10" width="11" bestFit="1" customWidth="1"/>
    <col min="12" max="12" width="12.75" bestFit="1" customWidth="1"/>
    <col min="13" max="13" width="13" bestFit="1" customWidth="1"/>
    <col min="14" max="14" width="10.5" bestFit="1" customWidth="1"/>
    <col min="15" max="16" width="13" bestFit="1" customWidth="1"/>
    <col min="19" max="19" width="13" bestFit="1" customWidth="1"/>
    <col min="20" max="20" width="9.5" bestFit="1" customWidth="1"/>
    <col min="21" max="21" width="8.5" bestFit="1" customWidth="1"/>
    <col min="22" max="22" width="12.75" bestFit="1" customWidth="1"/>
    <col min="23" max="23" width="13" bestFit="1" customWidth="1"/>
    <col min="24" max="24" width="12.75" bestFit="1" customWidth="1"/>
    <col min="26" max="26" width="9.5" bestFit="1" customWidth="1"/>
    <col min="27" max="27" width="8.625" bestFit="1" customWidth="1"/>
    <col min="28" max="28" width="9.5" bestFit="1" customWidth="1"/>
    <col min="29" max="29" width="7.875" bestFit="1" customWidth="1"/>
    <col min="30" max="30" width="9.5" bestFit="1" customWidth="1"/>
    <col min="31" max="31" width="9.375" bestFit="1" customWidth="1"/>
    <col min="33" max="33" width="11" bestFit="1" customWidth="1"/>
    <col min="35" max="35" width="13" bestFit="1" customWidth="1"/>
    <col min="36" max="36" width="14.375" bestFit="1" customWidth="1"/>
    <col min="37" max="37" width="15.125" bestFit="1" customWidth="1"/>
  </cols>
  <sheetData>
    <row r="1" spans="1:38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</row>
    <row r="2" spans="1:38" x14ac:dyDescent="0.3">
      <c r="A2">
        <v>9994</v>
      </c>
      <c r="B2" s="207">
        <v>46121</v>
      </c>
      <c r="C2" t="s">
        <v>3004</v>
      </c>
      <c r="D2" t="s">
        <v>3288</v>
      </c>
      <c r="E2" t="s">
        <v>3289</v>
      </c>
      <c r="F2" s="207">
        <v>46684</v>
      </c>
      <c r="G2">
        <v>3.24</v>
      </c>
      <c r="H2">
        <v>20000000</v>
      </c>
      <c r="I2">
        <v>19998000000</v>
      </c>
      <c r="J2">
        <v>3.3530000000000002</v>
      </c>
      <c r="K2">
        <v>10051</v>
      </c>
      <c r="L2">
        <v>20102000000</v>
      </c>
      <c r="M2">
        <v>-32800000</v>
      </c>
      <c r="N2">
        <v>136800000</v>
      </c>
      <c r="O2">
        <v>136800000</v>
      </c>
      <c r="P2">
        <v>0</v>
      </c>
      <c r="Q2">
        <v>0</v>
      </c>
      <c r="S2">
        <v>0</v>
      </c>
      <c r="T2">
        <v>19152000</v>
      </c>
      <c r="U2">
        <v>1915200</v>
      </c>
      <c r="V2">
        <v>1.4982333333</v>
      </c>
      <c r="W2">
        <v>1.4858</v>
      </c>
      <c r="X2">
        <v>2.6160666666000001</v>
      </c>
      <c r="Y2" t="s">
        <v>3007</v>
      </c>
      <c r="Z2">
        <v>10052.469999999999</v>
      </c>
      <c r="AA2" t="s">
        <v>3007</v>
      </c>
      <c r="AB2">
        <v>10052.02</v>
      </c>
      <c r="AC2" t="s">
        <v>3007</v>
      </c>
      <c r="AD2">
        <v>10049.629999999999</v>
      </c>
      <c r="AE2" t="s">
        <v>3007</v>
      </c>
      <c r="AF2" t="s">
        <v>3004</v>
      </c>
      <c r="AG2" t="s">
        <v>185</v>
      </c>
      <c r="AI2" t="s">
        <v>186</v>
      </c>
      <c r="AJ2" t="s">
        <v>3290</v>
      </c>
      <c r="AK2" t="s">
        <v>3009</v>
      </c>
    </row>
    <row r="3" spans="1:38" x14ac:dyDescent="0.3">
      <c r="A3">
        <v>9994</v>
      </c>
      <c r="B3" s="207">
        <v>46121</v>
      </c>
      <c r="C3" t="s">
        <v>3004</v>
      </c>
      <c r="D3" t="s">
        <v>3291</v>
      </c>
      <c r="E3" t="s">
        <v>3292</v>
      </c>
      <c r="F3" s="207">
        <v>46443</v>
      </c>
      <c r="G3">
        <v>2.56</v>
      </c>
      <c r="H3">
        <v>20000000</v>
      </c>
      <c r="I3">
        <v>19999000000</v>
      </c>
      <c r="J3">
        <v>3.03</v>
      </c>
      <c r="K3">
        <v>9990</v>
      </c>
      <c r="L3">
        <v>19980000000</v>
      </c>
      <c r="M3">
        <v>-82280898</v>
      </c>
      <c r="N3">
        <v>63280898</v>
      </c>
      <c r="O3">
        <v>63280898</v>
      </c>
      <c r="P3">
        <v>0</v>
      </c>
      <c r="Q3">
        <v>0</v>
      </c>
      <c r="S3">
        <v>0</v>
      </c>
      <c r="T3">
        <v>8859320</v>
      </c>
      <c r="U3">
        <v>885930</v>
      </c>
      <c r="V3">
        <v>0.86799999999999999</v>
      </c>
      <c r="W3">
        <v>0.86143333330000005</v>
      </c>
      <c r="X3">
        <v>0.95606666659999995</v>
      </c>
      <c r="Y3" t="s">
        <v>3007</v>
      </c>
      <c r="Z3">
        <v>9991.52</v>
      </c>
      <c r="AA3" t="s">
        <v>3007</v>
      </c>
      <c r="AB3">
        <v>9991.35</v>
      </c>
      <c r="AC3" t="s">
        <v>3007</v>
      </c>
      <c r="AD3">
        <v>9990.06</v>
      </c>
      <c r="AE3" t="s">
        <v>3007</v>
      </c>
      <c r="AF3" t="s">
        <v>3004</v>
      </c>
      <c r="AG3" t="s">
        <v>185</v>
      </c>
      <c r="AI3" t="s">
        <v>3293</v>
      </c>
      <c r="AJ3" t="s">
        <v>3294</v>
      </c>
      <c r="AK3" t="s">
        <v>3009</v>
      </c>
    </row>
    <row r="4" spans="1:38" x14ac:dyDescent="0.3">
      <c r="A4">
        <v>9994</v>
      </c>
      <c r="B4" s="207">
        <v>46121</v>
      </c>
      <c r="C4" t="s">
        <v>3004</v>
      </c>
      <c r="D4" t="s">
        <v>3295</v>
      </c>
      <c r="E4" t="s">
        <v>3296</v>
      </c>
      <c r="F4" s="207">
        <v>46677</v>
      </c>
      <c r="G4">
        <v>2.6</v>
      </c>
      <c r="H4">
        <v>10000000</v>
      </c>
      <c r="I4">
        <v>10000000000</v>
      </c>
      <c r="J4">
        <v>3.347</v>
      </c>
      <c r="K4">
        <v>9949</v>
      </c>
      <c r="L4">
        <v>9949000000</v>
      </c>
      <c r="M4">
        <v>-110944444</v>
      </c>
      <c r="N4">
        <v>59944444</v>
      </c>
      <c r="O4">
        <v>59944444</v>
      </c>
      <c r="P4">
        <v>0</v>
      </c>
      <c r="Q4">
        <v>0</v>
      </c>
      <c r="S4">
        <v>0</v>
      </c>
      <c r="T4">
        <v>8392220</v>
      </c>
      <c r="U4">
        <v>839220</v>
      </c>
      <c r="V4">
        <v>1.4865999999999999</v>
      </c>
      <c r="W4">
        <v>1.4742999999999999</v>
      </c>
      <c r="X4">
        <v>2.5726</v>
      </c>
      <c r="Y4" t="s">
        <v>3007</v>
      </c>
      <c r="Z4">
        <v>9950.7099999999991</v>
      </c>
      <c r="AA4" t="s">
        <v>3007</v>
      </c>
      <c r="AB4">
        <v>9950.27</v>
      </c>
      <c r="AC4" t="s">
        <v>3007</v>
      </c>
      <c r="AD4">
        <v>9947.77</v>
      </c>
      <c r="AE4" t="s">
        <v>3007</v>
      </c>
      <c r="AF4" t="s">
        <v>3004</v>
      </c>
      <c r="AG4" t="s">
        <v>185</v>
      </c>
      <c r="AI4" t="s">
        <v>186</v>
      </c>
      <c r="AJ4" t="s">
        <v>3297</v>
      </c>
      <c r="AK4" t="s">
        <v>3009</v>
      </c>
    </row>
    <row r="5" spans="1:38" x14ac:dyDescent="0.3">
      <c r="A5">
        <v>9994</v>
      </c>
      <c r="B5" s="207">
        <v>46121</v>
      </c>
      <c r="C5" t="s">
        <v>3004</v>
      </c>
      <c r="D5" t="s">
        <v>3298</v>
      </c>
      <c r="E5" t="s">
        <v>3299</v>
      </c>
      <c r="F5" s="207">
        <v>46501</v>
      </c>
      <c r="G5">
        <v>3.23</v>
      </c>
      <c r="H5">
        <v>10000000</v>
      </c>
      <c r="I5">
        <v>10000000000</v>
      </c>
      <c r="J5">
        <v>3.1320000000000001</v>
      </c>
      <c r="K5">
        <v>10078</v>
      </c>
      <c r="L5">
        <v>10078000000</v>
      </c>
      <c r="M5">
        <v>9811112</v>
      </c>
      <c r="N5">
        <v>68188888</v>
      </c>
      <c r="O5">
        <v>68188888</v>
      </c>
      <c r="P5">
        <v>0</v>
      </c>
      <c r="Q5">
        <v>0</v>
      </c>
      <c r="S5">
        <v>0</v>
      </c>
      <c r="T5">
        <v>9546440</v>
      </c>
      <c r="U5">
        <v>954640</v>
      </c>
      <c r="V5">
        <v>1.0200333333</v>
      </c>
      <c r="W5">
        <v>1.0121333333</v>
      </c>
      <c r="X5">
        <v>1.2870333332999999</v>
      </c>
      <c r="Y5" t="s">
        <v>3007</v>
      </c>
      <c r="Z5">
        <v>10079.299999999999</v>
      </c>
      <c r="AA5" t="s">
        <v>3007</v>
      </c>
      <c r="AB5">
        <v>10078.18</v>
      </c>
      <c r="AC5" t="s">
        <v>3007</v>
      </c>
      <c r="AD5">
        <v>10076.76</v>
      </c>
      <c r="AE5" t="s">
        <v>3007</v>
      </c>
      <c r="AF5" t="s">
        <v>3004</v>
      </c>
      <c r="AG5" t="s">
        <v>185</v>
      </c>
      <c r="AI5" t="s">
        <v>186</v>
      </c>
      <c r="AJ5" t="s">
        <v>3300</v>
      </c>
      <c r="AK5" t="s">
        <v>3009</v>
      </c>
    </row>
    <row r="6" spans="1:38" x14ac:dyDescent="0.3">
      <c r="A6">
        <v>9994</v>
      </c>
      <c r="B6" s="207">
        <v>46121</v>
      </c>
      <c r="C6" t="s">
        <v>3004</v>
      </c>
      <c r="D6" t="s">
        <v>3037</v>
      </c>
      <c r="E6" t="s">
        <v>3038</v>
      </c>
      <c r="F6" s="207">
        <v>46328</v>
      </c>
      <c r="G6">
        <v>2.5499999999999998</v>
      </c>
      <c r="H6">
        <v>20000000</v>
      </c>
      <c r="I6">
        <v>19999000000</v>
      </c>
      <c r="J6">
        <v>2.8860000000000001</v>
      </c>
      <c r="K6">
        <v>10029</v>
      </c>
      <c r="L6">
        <v>20058000000</v>
      </c>
      <c r="M6">
        <v>-37058426</v>
      </c>
      <c r="N6">
        <v>96058426</v>
      </c>
      <c r="O6">
        <v>96058426</v>
      </c>
      <c r="P6">
        <v>0</v>
      </c>
      <c r="Q6">
        <v>0</v>
      </c>
      <c r="S6">
        <v>0</v>
      </c>
      <c r="T6">
        <v>13448170</v>
      </c>
      <c r="U6">
        <v>1344810</v>
      </c>
      <c r="V6">
        <v>0.55813333330000003</v>
      </c>
      <c r="W6">
        <v>0.55410000000000004</v>
      </c>
      <c r="X6">
        <v>0.44266666659999998</v>
      </c>
      <c r="Y6" t="s">
        <v>3007</v>
      </c>
      <c r="Z6">
        <v>10029.57</v>
      </c>
      <c r="AA6" t="s">
        <v>3007</v>
      </c>
      <c r="AB6">
        <v>10029.290000000001</v>
      </c>
      <c r="AC6" t="s">
        <v>3007</v>
      </c>
      <c r="AD6">
        <v>10028.74</v>
      </c>
      <c r="AE6" t="s">
        <v>3007</v>
      </c>
      <c r="AF6" t="s">
        <v>3004</v>
      </c>
      <c r="AG6" t="s">
        <v>185</v>
      </c>
      <c r="AI6" t="s">
        <v>186</v>
      </c>
      <c r="AJ6" t="s">
        <v>3039</v>
      </c>
      <c r="AK6" t="s">
        <v>3009</v>
      </c>
    </row>
    <row r="7" spans="1:38" x14ac:dyDescent="0.3">
      <c r="A7">
        <v>9994</v>
      </c>
      <c r="B7" s="207">
        <v>46121</v>
      </c>
      <c r="C7" t="s">
        <v>3004</v>
      </c>
      <c r="D7" t="s">
        <v>3301</v>
      </c>
      <c r="E7" t="s">
        <v>3302</v>
      </c>
      <c r="F7" s="207">
        <v>46829</v>
      </c>
      <c r="G7">
        <v>2.84</v>
      </c>
      <c r="H7">
        <v>20000000</v>
      </c>
      <c r="I7">
        <v>19998000000</v>
      </c>
      <c r="J7">
        <v>3.4630000000000001</v>
      </c>
      <c r="K7">
        <v>9902</v>
      </c>
      <c r="L7">
        <v>19804000000</v>
      </c>
      <c r="M7">
        <v>-231043478</v>
      </c>
      <c r="N7">
        <v>37043478</v>
      </c>
      <c r="O7">
        <v>37043478</v>
      </c>
      <c r="P7">
        <v>0</v>
      </c>
      <c r="Q7">
        <v>0</v>
      </c>
      <c r="S7">
        <v>0</v>
      </c>
      <c r="T7">
        <v>5186080</v>
      </c>
      <c r="U7">
        <v>518600</v>
      </c>
      <c r="V7">
        <v>1.8868333333</v>
      </c>
      <c r="W7">
        <v>1.8706333333</v>
      </c>
      <c r="X7">
        <v>4.0170333332999997</v>
      </c>
      <c r="Y7" t="s">
        <v>3007</v>
      </c>
      <c r="Z7">
        <v>9902.2800000000007</v>
      </c>
      <c r="AA7" t="s">
        <v>3007</v>
      </c>
      <c r="AB7">
        <v>9902.4699999999993</v>
      </c>
      <c r="AC7" t="s">
        <v>3007</v>
      </c>
      <c r="AD7">
        <v>9901.73</v>
      </c>
      <c r="AE7" t="s">
        <v>3007</v>
      </c>
      <c r="AF7" t="s">
        <v>3004</v>
      </c>
      <c r="AG7" t="s">
        <v>185</v>
      </c>
      <c r="AI7" t="s">
        <v>186</v>
      </c>
      <c r="AJ7" t="s">
        <v>3303</v>
      </c>
      <c r="AK7" t="s">
        <v>3009</v>
      </c>
    </row>
    <row r="8" spans="1:38" x14ac:dyDescent="0.3">
      <c r="A8">
        <v>9994</v>
      </c>
      <c r="B8" s="207">
        <v>46121</v>
      </c>
      <c r="C8" t="s">
        <v>3004</v>
      </c>
      <c r="D8" t="s">
        <v>3304</v>
      </c>
      <c r="E8" t="s">
        <v>3305</v>
      </c>
      <c r="F8" s="207">
        <v>46585</v>
      </c>
      <c r="G8">
        <v>2.5499999999999998</v>
      </c>
      <c r="H8">
        <v>20000000</v>
      </c>
      <c r="I8">
        <v>19999000000</v>
      </c>
      <c r="J8">
        <v>3.2370000000000001</v>
      </c>
      <c r="K8">
        <v>9973</v>
      </c>
      <c r="L8">
        <v>19946000000</v>
      </c>
      <c r="M8">
        <v>-170675555</v>
      </c>
      <c r="N8">
        <v>117675555</v>
      </c>
      <c r="O8">
        <v>117675555</v>
      </c>
      <c r="P8">
        <v>0</v>
      </c>
      <c r="Q8">
        <v>0</v>
      </c>
      <c r="S8">
        <v>0</v>
      </c>
      <c r="T8">
        <v>16474570</v>
      </c>
      <c r="U8">
        <v>1647450</v>
      </c>
      <c r="V8">
        <v>1.2466999999999999</v>
      </c>
      <c r="W8">
        <v>1.2366999999999999</v>
      </c>
      <c r="X8">
        <v>1.8555666665999999</v>
      </c>
      <c r="Y8" t="s">
        <v>3007</v>
      </c>
      <c r="Z8">
        <v>9974.75</v>
      </c>
      <c r="AA8" t="s">
        <v>3007</v>
      </c>
      <c r="AB8">
        <v>9973.89</v>
      </c>
      <c r="AC8" t="s">
        <v>3007</v>
      </c>
      <c r="AD8">
        <v>9972.0400000000009</v>
      </c>
      <c r="AE8" t="s">
        <v>3007</v>
      </c>
      <c r="AF8" t="s">
        <v>3004</v>
      </c>
      <c r="AG8" t="s">
        <v>185</v>
      </c>
      <c r="AI8" t="s">
        <v>186</v>
      </c>
      <c r="AJ8" t="s">
        <v>3306</v>
      </c>
      <c r="AK8" t="s">
        <v>3009</v>
      </c>
    </row>
    <row r="9" spans="1:38" x14ac:dyDescent="0.3">
      <c r="A9">
        <v>9994</v>
      </c>
      <c r="B9" s="207">
        <v>46121</v>
      </c>
      <c r="C9" t="s">
        <v>3004</v>
      </c>
      <c r="D9" t="s">
        <v>3307</v>
      </c>
      <c r="E9" t="s">
        <v>3308</v>
      </c>
      <c r="F9" s="207">
        <v>46472</v>
      </c>
      <c r="G9">
        <v>2.59</v>
      </c>
      <c r="H9">
        <v>10000000</v>
      </c>
      <c r="I9">
        <v>10000000000</v>
      </c>
      <c r="J9">
        <v>3.0870000000000002</v>
      </c>
      <c r="K9">
        <v>9963</v>
      </c>
      <c r="L9">
        <v>9963000000</v>
      </c>
      <c r="M9">
        <v>-47557065</v>
      </c>
      <c r="N9">
        <v>10557065</v>
      </c>
      <c r="O9">
        <v>10557065</v>
      </c>
      <c r="P9">
        <v>0</v>
      </c>
      <c r="Q9">
        <v>0</v>
      </c>
      <c r="S9">
        <v>0</v>
      </c>
      <c r="T9">
        <v>1477980</v>
      </c>
      <c r="U9">
        <v>147790</v>
      </c>
      <c r="V9">
        <v>0.9506</v>
      </c>
      <c r="W9">
        <v>0.94333333330000002</v>
      </c>
      <c r="X9">
        <v>1.1265333333000001</v>
      </c>
      <c r="Y9" t="s">
        <v>3007</v>
      </c>
      <c r="Z9">
        <v>9964.6200000000008</v>
      </c>
      <c r="AA9" t="s">
        <v>3007</v>
      </c>
      <c r="AB9">
        <v>9963.68</v>
      </c>
      <c r="AC9" t="s">
        <v>3007</v>
      </c>
      <c r="AD9">
        <v>9962.5499999999993</v>
      </c>
      <c r="AE9" t="s">
        <v>3007</v>
      </c>
      <c r="AF9" t="s">
        <v>3004</v>
      </c>
      <c r="AG9" t="s">
        <v>185</v>
      </c>
      <c r="AI9" t="s">
        <v>186</v>
      </c>
      <c r="AJ9" t="s">
        <v>3309</v>
      </c>
      <c r="AK9" t="s">
        <v>3009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C5D8-2351-440E-8278-C34479355274}">
  <dimension ref="A1:AL2"/>
  <sheetViews>
    <sheetView workbookViewId="0">
      <selection sqref="A1:AL21"/>
    </sheetView>
  </sheetViews>
  <sheetFormatPr defaultRowHeight="16.5" x14ac:dyDescent="0.3"/>
  <cols>
    <col min="2" max="2" width="11.125" bestFit="1" customWidth="1"/>
    <col min="4" max="4" width="11.625" bestFit="1" customWidth="1"/>
    <col min="5" max="5" width="25.25" bestFit="1" customWidth="1"/>
    <col min="6" max="6" width="11.125" bestFit="1" customWidth="1"/>
    <col min="8" max="8" width="9.5" bestFit="1" customWidth="1"/>
    <col min="9" max="9" width="12.75" bestFit="1" customWidth="1"/>
    <col min="10" max="10" width="11" bestFit="1" customWidth="1"/>
    <col min="12" max="12" width="12.75" bestFit="1" customWidth="1"/>
    <col min="13" max="13" width="13" bestFit="1" customWidth="1"/>
    <col min="15" max="16" width="13" bestFit="1" customWidth="1"/>
    <col min="19" max="19" width="13" bestFit="1" customWidth="1"/>
    <col min="20" max="21" width="7.125" bestFit="1" customWidth="1"/>
    <col min="23" max="23" width="13" bestFit="1" customWidth="1"/>
    <col min="24" max="24" width="12.75" bestFit="1" customWidth="1"/>
    <col min="26" max="27" width="8.625" bestFit="1" customWidth="1"/>
    <col min="28" max="28" width="8.5" bestFit="1" customWidth="1"/>
    <col min="29" max="29" width="7.875" bestFit="1" customWidth="1"/>
    <col min="30" max="31" width="9.375" bestFit="1" customWidth="1"/>
    <col min="33" max="33" width="11" bestFit="1" customWidth="1"/>
    <col min="36" max="36" width="15" bestFit="1" customWidth="1"/>
    <col min="37" max="37" width="15.125" bestFit="1" customWidth="1"/>
  </cols>
  <sheetData>
    <row r="1" spans="1:38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</row>
    <row r="2" spans="1:38" x14ac:dyDescent="0.3">
      <c r="A2">
        <v>8051</v>
      </c>
      <c r="B2" s="207">
        <v>46121</v>
      </c>
      <c r="C2" t="s">
        <v>182</v>
      </c>
      <c r="D2" t="s">
        <v>183</v>
      </c>
      <c r="E2" t="s">
        <v>184</v>
      </c>
      <c r="F2" s="207">
        <v>57049</v>
      </c>
      <c r="G2">
        <v>3.5</v>
      </c>
      <c r="H2">
        <v>20000000</v>
      </c>
      <c r="I2">
        <v>19892050000</v>
      </c>
      <c r="J2">
        <v>3.5720000000000001</v>
      </c>
      <c r="K2">
        <v>9897</v>
      </c>
      <c r="L2">
        <v>19794000000</v>
      </c>
      <c r="M2">
        <v>98050000</v>
      </c>
      <c r="N2">
        <v>0</v>
      </c>
      <c r="O2">
        <v>0</v>
      </c>
      <c r="P2">
        <v>0</v>
      </c>
      <c r="Q2">
        <v>0</v>
      </c>
      <c r="S2">
        <v>0</v>
      </c>
      <c r="T2">
        <v>0</v>
      </c>
      <c r="U2">
        <v>0</v>
      </c>
      <c r="V2">
        <v>18.641500000000001</v>
      </c>
      <c r="W2">
        <v>18.314399999999999</v>
      </c>
      <c r="X2">
        <v>455.0559666666</v>
      </c>
      <c r="Z2">
        <v>9897.3700000000008</v>
      </c>
      <c r="AB2">
        <v>9897.3700000000008</v>
      </c>
      <c r="AD2">
        <v>9897.3700000000008</v>
      </c>
      <c r="AF2" t="s">
        <v>182</v>
      </c>
      <c r="AG2" t="s">
        <v>185</v>
      </c>
      <c r="AI2" t="s">
        <v>186</v>
      </c>
      <c r="AJ2" t="s">
        <v>187</v>
      </c>
      <c r="AK2" t="s">
        <v>188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7612-1F5E-4854-9E3C-5FA6B3F4320E}">
  <dimension ref="A1:AL11"/>
  <sheetViews>
    <sheetView workbookViewId="0">
      <selection sqref="A1:AL21"/>
    </sheetView>
  </sheetViews>
  <sheetFormatPr defaultRowHeight="16.5" x14ac:dyDescent="0.3"/>
  <cols>
    <col min="2" max="2" width="11.125" bestFit="1" customWidth="1"/>
    <col min="4" max="4" width="11.25" bestFit="1" customWidth="1"/>
    <col min="5" max="5" width="32.5" bestFit="1" customWidth="1"/>
    <col min="6" max="6" width="11.125" bestFit="1" customWidth="1"/>
    <col min="8" max="8" width="9.5" bestFit="1" customWidth="1"/>
    <col min="9" max="9" width="12.75" bestFit="1" customWidth="1"/>
    <col min="10" max="10" width="11" bestFit="1" customWidth="1"/>
    <col min="12" max="12" width="12.75" bestFit="1" customWidth="1"/>
    <col min="13" max="13" width="13" bestFit="1" customWidth="1"/>
    <col min="14" max="14" width="10.5" bestFit="1" customWidth="1"/>
    <col min="15" max="16" width="13" bestFit="1" customWidth="1"/>
    <col min="17" max="17" width="9.5" bestFit="1" customWidth="1"/>
    <col min="19" max="19" width="13" bestFit="1" customWidth="1"/>
    <col min="20" max="20" width="9.5" bestFit="1" customWidth="1"/>
    <col min="21" max="21" width="8.5" bestFit="1" customWidth="1"/>
    <col min="22" max="22" width="12.75" bestFit="1" customWidth="1"/>
    <col min="23" max="23" width="13" bestFit="1" customWidth="1"/>
    <col min="24" max="24" width="12.75" bestFit="1" customWidth="1"/>
    <col min="26" max="26" width="9.5" bestFit="1" customWidth="1"/>
    <col min="27" max="27" width="8.625" bestFit="1" customWidth="1"/>
    <col min="28" max="28" width="9.5" bestFit="1" customWidth="1"/>
    <col min="29" max="29" width="7.875" bestFit="1" customWidth="1"/>
    <col min="30" max="30" width="9.5" bestFit="1" customWidth="1"/>
    <col min="31" max="31" width="9.375" bestFit="1" customWidth="1"/>
    <col min="33" max="33" width="11" bestFit="1" customWidth="1"/>
    <col min="36" max="36" width="14.875" bestFit="1" customWidth="1"/>
    <col min="37" max="37" width="15.125" bestFit="1" customWidth="1"/>
  </cols>
  <sheetData>
    <row r="1" spans="1:38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</row>
    <row r="2" spans="1:38" x14ac:dyDescent="0.3">
      <c r="A2">
        <v>7120</v>
      </c>
      <c r="B2" s="207">
        <v>46121</v>
      </c>
      <c r="C2" t="s">
        <v>3004</v>
      </c>
      <c r="D2" t="s">
        <v>3310</v>
      </c>
      <c r="E2" t="s">
        <v>3311</v>
      </c>
      <c r="F2" s="207">
        <v>46150</v>
      </c>
      <c r="G2">
        <v>3.24</v>
      </c>
      <c r="H2">
        <v>10000000</v>
      </c>
      <c r="I2">
        <v>10014456522</v>
      </c>
      <c r="J2">
        <v>2.754</v>
      </c>
      <c r="K2">
        <v>10059</v>
      </c>
      <c r="L2">
        <v>10059000000</v>
      </c>
      <c r="M2">
        <v>-10973375</v>
      </c>
      <c r="N2">
        <v>55516853</v>
      </c>
      <c r="O2">
        <v>55516853</v>
      </c>
      <c r="P2">
        <v>0</v>
      </c>
      <c r="Q2">
        <v>0</v>
      </c>
      <c r="S2">
        <v>0</v>
      </c>
      <c r="T2">
        <v>7772350</v>
      </c>
      <c r="U2">
        <v>777230</v>
      </c>
      <c r="V2">
        <v>7.9733333300000001E-2</v>
      </c>
      <c r="W2">
        <v>7.9166666600000005E-2</v>
      </c>
      <c r="X2">
        <v>2.14666666E-2</v>
      </c>
      <c r="Y2" t="s">
        <v>3007</v>
      </c>
      <c r="Z2">
        <v>10059.280000000001</v>
      </c>
      <c r="AA2" t="s">
        <v>3007</v>
      </c>
      <c r="AB2">
        <v>10059.19</v>
      </c>
      <c r="AC2" t="s">
        <v>3007</v>
      </c>
      <c r="AD2">
        <v>10059.15</v>
      </c>
      <c r="AE2" t="s">
        <v>3007</v>
      </c>
      <c r="AF2" t="s">
        <v>3004</v>
      </c>
      <c r="AG2" t="s">
        <v>185</v>
      </c>
      <c r="AI2" t="s">
        <v>186</v>
      </c>
      <c r="AJ2" t="s">
        <v>3312</v>
      </c>
      <c r="AK2" t="s">
        <v>3009</v>
      </c>
    </row>
    <row r="3" spans="1:38" x14ac:dyDescent="0.3">
      <c r="A3">
        <v>7120</v>
      </c>
      <c r="B3" s="207">
        <v>46121</v>
      </c>
      <c r="C3" t="s">
        <v>3004</v>
      </c>
      <c r="D3" t="s">
        <v>3181</v>
      </c>
      <c r="E3" t="s">
        <v>3182</v>
      </c>
      <c r="F3" s="207">
        <v>46353</v>
      </c>
      <c r="G3">
        <v>2.5299999999999998</v>
      </c>
      <c r="H3">
        <v>30000000</v>
      </c>
      <c r="I3">
        <v>29921812500</v>
      </c>
      <c r="J3">
        <v>2.9060000000000001</v>
      </c>
      <c r="K3">
        <v>10006</v>
      </c>
      <c r="L3">
        <v>30018000000</v>
      </c>
      <c r="M3">
        <v>6642557</v>
      </c>
      <c r="N3">
        <v>89544943</v>
      </c>
      <c r="O3">
        <v>89544943</v>
      </c>
      <c r="P3">
        <v>0</v>
      </c>
      <c r="Q3">
        <v>0</v>
      </c>
      <c r="S3">
        <v>0</v>
      </c>
      <c r="T3">
        <v>12536290</v>
      </c>
      <c r="U3">
        <v>1253620</v>
      </c>
      <c r="V3">
        <v>0.62839999999999996</v>
      </c>
      <c r="W3">
        <v>0.62386666660000001</v>
      </c>
      <c r="X3">
        <v>0.54083333330000005</v>
      </c>
      <c r="Y3" t="s">
        <v>3007</v>
      </c>
      <c r="Z3">
        <v>10006.57</v>
      </c>
      <c r="AA3" t="s">
        <v>3007</v>
      </c>
      <c r="AB3">
        <v>10006.379999999999</v>
      </c>
      <c r="AC3" t="s">
        <v>3007</v>
      </c>
      <c r="AD3">
        <v>10005.76</v>
      </c>
      <c r="AE3" t="s">
        <v>3007</v>
      </c>
      <c r="AF3" t="s">
        <v>3004</v>
      </c>
      <c r="AG3" t="s">
        <v>185</v>
      </c>
      <c r="AI3" t="s">
        <v>186</v>
      </c>
      <c r="AJ3" t="s">
        <v>3183</v>
      </c>
      <c r="AK3" t="s">
        <v>3009</v>
      </c>
    </row>
    <row r="4" spans="1:38" x14ac:dyDescent="0.3">
      <c r="A4">
        <v>7120</v>
      </c>
      <c r="B4" s="207">
        <v>46121</v>
      </c>
      <c r="C4" t="s">
        <v>3004</v>
      </c>
      <c r="D4" t="s">
        <v>3199</v>
      </c>
      <c r="E4" t="s">
        <v>3200</v>
      </c>
      <c r="F4" s="207">
        <v>46130</v>
      </c>
      <c r="G4">
        <v>3.17</v>
      </c>
      <c r="H4">
        <v>10000000</v>
      </c>
      <c r="I4">
        <v>10010394022</v>
      </c>
      <c r="J4">
        <v>2.7429999999999999</v>
      </c>
      <c r="K4">
        <v>10073</v>
      </c>
      <c r="L4">
        <v>10073000000</v>
      </c>
      <c r="M4">
        <v>-9599577</v>
      </c>
      <c r="N4">
        <v>72205555</v>
      </c>
      <c r="O4">
        <v>72205555</v>
      </c>
      <c r="P4">
        <v>0</v>
      </c>
      <c r="Q4">
        <v>0</v>
      </c>
      <c r="S4">
        <v>0</v>
      </c>
      <c r="T4">
        <v>10108770</v>
      </c>
      <c r="U4">
        <v>1010870</v>
      </c>
      <c r="V4">
        <v>2.3199999999999998E-2</v>
      </c>
      <c r="W4">
        <v>2.30333333E-2</v>
      </c>
      <c r="X4">
        <v>4.5999999999999999E-3</v>
      </c>
      <c r="Y4" t="s">
        <v>3007</v>
      </c>
      <c r="Z4">
        <v>10073.1</v>
      </c>
      <c r="AA4" t="s">
        <v>3007</v>
      </c>
      <c r="AB4">
        <v>10073.120000000001</v>
      </c>
      <c r="AC4" t="s">
        <v>3007</v>
      </c>
      <c r="AD4">
        <v>10073.09</v>
      </c>
      <c r="AE4" t="s">
        <v>3007</v>
      </c>
      <c r="AF4" t="s">
        <v>3004</v>
      </c>
      <c r="AG4" t="s">
        <v>185</v>
      </c>
      <c r="AI4" t="s">
        <v>186</v>
      </c>
      <c r="AJ4" t="s">
        <v>3201</v>
      </c>
      <c r="AK4" t="s">
        <v>3009</v>
      </c>
    </row>
    <row r="5" spans="1:38" x14ac:dyDescent="0.3">
      <c r="A5">
        <v>7120</v>
      </c>
      <c r="B5" s="207">
        <v>46121</v>
      </c>
      <c r="C5" t="s">
        <v>3004</v>
      </c>
      <c r="D5" t="s">
        <v>3313</v>
      </c>
      <c r="E5" t="s">
        <v>3314</v>
      </c>
      <c r="F5" s="207">
        <v>46172</v>
      </c>
      <c r="G5">
        <v>2.4900000000000002</v>
      </c>
      <c r="H5">
        <v>20000000</v>
      </c>
      <c r="I5">
        <v>19558520548</v>
      </c>
      <c r="J5">
        <v>2.7669999999999999</v>
      </c>
      <c r="K5">
        <v>9962</v>
      </c>
      <c r="L5">
        <v>19924000000</v>
      </c>
      <c r="M5">
        <v>18926028</v>
      </c>
      <c r="N5">
        <v>346553424</v>
      </c>
      <c r="O5">
        <v>135073972</v>
      </c>
      <c r="P5">
        <v>141895891</v>
      </c>
      <c r="Q5">
        <v>69583561</v>
      </c>
      <c r="S5">
        <v>0</v>
      </c>
      <c r="T5">
        <v>38775780</v>
      </c>
      <c r="U5">
        <v>3877570</v>
      </c>
      <c r="V5">
        <v>0.13789999999999999</v>
      </c>
      <c r="W5">
        <v>0.1352666666</v>
      </c>
      <c r="X5">
        <v>0.1118333333</v>
      </c>
      <c r="Y5" t="s">
        <v>3007</v>
      </c>
      <c r="Z5">
        <v>9962.3700000000008</v>
      </c>
      <c r="AA5" t="s">
        <v>3007</v>
      </c>
      <c r="AB5">
        <v>9962.19</v>
      </c>
      <c r="AC5" t="s">
        <v>3007</v>
      </c>
      <c r="AD5">
        <v>9962.1299999999992</v>
      </c>
      <c r="AE5" t="s">
        <v>3007</v>
      </c>
      <c r="AF5" t="s">
        <v>3004</v>
      </c>
      <c r="AG5" t="s">
        <v>185</v>
      </c>
      <c r="AI5" t="s">
        <v>186</v>
      </c>
      <c r="AJ5" t="s">
        <v>3315</v>
      </c>
      <c r="AK5" t="s">
        <v>3009</v>
      </c>
    </row>
    <row r="6" spans="1:38" x14ac:dyDescent="0.3">
      <c r="A6">
        <v>7120</v>
      </c>
      <c r="B6" s="207">
        <v>46121</v>
      </c>
      <c r="C6" t="s">
        <v>3004</v>
      </c>
      <c r="D6" t="s">
        <v>3316</v>
      </c>
      <c r="E6" t="s">
        <v>3317</v>
      </c>
      <c r="F6" s="207">
        <v>46338</v>
      </c>
      <c r="G6">
        <v>3.15</v>
      </c>
      <c r="H6">
        <v>10000000</v>
      </c>
      <c r="I6">
        <v>10030173914</v>
      </c>
      <c r="J6">
        <v>2.867</v>
      </c>
      <c r="K6">
        <v>10066</v>
      </c>
      <c r="L6">
        <v>10066000000</v>
      </c>
      <c r="M6">
        <v>-14641329</v>
      </c>
      <c r="N6">
        <v>50467415</v>
      </c>
      <c r="O6">
        <v>50467415</v>
      </c>
      <c r="P6">
        <v>0</v>
      </c>
      <c r="Q6">
        <v>0</v>
      </c>
      <c r="S6">
        <v>0</v>
      </c>
      <c r="T6">
        <v>7065430</v>
      </c>
      <c r="U6">
        <v>706540</v>
      </c>
      <c r="V6">
        <v>0.58513333329999995</v>
      </c>
      <c r="W6">
        <v>0.58096666659999996</v>
      </c>
      <c r="X6">
        <v>0.47936666659999999</v>
      </c>
      <c r="Y6" t="s">
        <v>3007</v>
      </c>
      <c r="Z6">
        <v>10067.040000000001</v>
      </c>
      <c r="AA6" t="s">
        <v>3007</v>
      </c>
      <c r="AB6">
        <v>10067.040000000001</v>
      </c>
      <c r="AC6" t="s">
        <v>3007</v>
      </c>
      <c r="AD6">
        <v>10066.33</v>
      </c>
      <c r="AE6" t="s">
        <v>3007</v>
      </c>
      <c r="AF6" t="s">
        <v>3066</v>
      </c>
      <c r="AG6" t="s">
        <v>185</v>
      </c>
      <c r="AI6" t="s">
        <v>186</v>
      </c>
      <c r="AJ6" t="s">
        <v>3318</v>
      </c>
      <c r="AK6" t="s">
        <v>3009</v>
      </c>
    </row>
    <row r="7" spans="1:38" x14ac:dyDescent="0.3">
      <c r="A7">
        <v>7120</v>
      </c>
      <c r="B7" s="207">
        <v>46121</v>
      </c>
      <c r="C7" t="s">
        <v>3004</v>
      </c>
      <c r="D7" t="s">
        <v>3319</v>
      </c>
      <c r="E7" t="s">
        <v>3320</v>
      </c>
      <c r="F7" s="207">
        <v>46141</v>
      </c>
      <c r="G7">
        <v>3.68</v>
      </c>
      <c r="H7">
        <v>30000000</v>
      </c>
      <c r="I7">
        <v>30084000000</v>
      </c>
      <c r="J7">
        <v>2.7330000000000001</v>
      </c>
      <c r="K7">
        <v>10077</v>
      </c>
      <c r="L7">
        <v>30231000000</v>
      </c>
      <c r="M7">
        <v>-70733333</v>
      </c>
      <c r="N7">
        <v>217733333</v>
      </c>
      <c r="O7">
        <v>217733333</v>
      </c>
      <c r="P7">
        <v>0</v>
      </c>
      <c r="Q7">
        <v>0</v>
      </c>
      <c r="S7">
        <v>0</v>
      </c>
      <c r="T7">
        <v>30482660</v>
      </c>
      <c r="U7">
        <v>3048260</v>
      </c>
      <c r="V7">
        <v>5.3833333300000001E-2</v>
      </c>
      <c r="W7">
        <v>5.3433333299999997E-2</v>
      </c>
      <c r="X7">
        <v>1.2699999999999999E-2</v>
      </c>
      <c r="Y7" t="s">
        <v>3007</v>
      </c>
      <c r="Z7">
        <v>10077.51</v>
      </c>
      <c r="AA7" t="s">
        <v>3007</v>
      </c>
      <c r="AB7">
        <v>10077.450000000001</v>
      </c>
      <c r="AC7" t="s">
        <v>3007</v>
      </c>
      <c r="AD7">
        <v>10077.42</v>
      </c>
      <c r="AE7" t="s">
        <v>3007</v>
      </c>
      <c r="AF7" t="s">
        <v>3066</v>
      </c>
      <c r="AG7" t="s">
        <v>185</v>
      </c>
      <c r="AI7" t="s">
        <v>186</v>
      </c>
      <c r="AJ7" t="s">
        <v>3321</v>
      </c>
      <c r="AK7" t="s">
        <v>3009</v>
      </c>
    </row>
    <row r="8" spans="1:38" x14ac:dyDescent="0.3">
      <c r="A8">
        <v>7120</v>
      </c>
      <c r="B8" s="207">
        <v>46121</v>
      </c>
      <c r="C8" t="s">
        <v>3004</v>
      </c>
      <c r="D8" t="s">
        <v>3104</v>
      </c>
      <c r="E8" t="s">
        <v>3105</v>
      </c>
      <c r="F8" s="207">
        <v>46311</v>
      </c>
      <c r="G8">
        <v>2.4700000000000002</v>
      </c>
      <c r="H8">
        <v>20000000</v>
      </c>
      <c r="I8">
        <v>19463786302</v>
      </c>
      <c r="J8">
        <v>2.8450000000000002</v>
      </c>
      <c r="K8">
        <v>9854</v>
      </c>
      <c r="L8">
        <v>19708000000</v>
      </c>
      <c r="M8">
        <v>6010959</v>
      </c>
      <c r="N8">
        <v>238202739</v>
      </c>
      <c r="O8">
        <v>133989041</v>
      </c>
      <c r="P8">
        <v>98800000</v>
      </c>
      <c r="Q8">
        <v>5413698</v>
      </c>
      <c r="S8">
        <v>0</v>
      </c>
      <c r="T8">
        <v>32590460</v>
      </c>
      <c r="U8">
        <v>3259040</v>
      </c>
      <c r="V8">
        <v>0.51870000000000005</v>
      </c>
      <c r="W8">
        <v>0.50663333330000004</v>
      </c>
      <c r="X8">
        <v>0.67073333329999996</v>
      </c>
      <c r="Y8" t="s">
        <v>3007</v>
      </c>
      <c r="Z8">
        <v>9855.27</v>
      </c>
      <c r="AA8" t="s">
        <v>3007</v>
      </c>
      <c r="AB8">
        <v>9854.8700000000008</v>
      </c>
      <c r="AC8" t="s">
        <v>3007</v>
      </c>
      <c r="AD8">
        <v>9854.2099999999991</v>
      </c>
      <c r="AE8" t="s">
        <v>3007</v>
      </c>
      <c r="AF8" t="s">
        <v>3066</v>
      </c>
      <c r="AG8" t="s">
        <v>185</v>
      </c>
      <c r="AI8" t="s">
        <v>186</v>
      </c>
      <c r="AJ8" t="s">
        <v>3106</v>
      </c>
      <c r="AK8" t="s">
        <v>3009</v>
      </c>
    </row>
    <row r="9" spans="1:38" x14ac:dyDescent="0.3">
      <c r="A9">
        <v>7120</v>
      </c>
      <c r="B9" s="207">
        <v>46121</v>
      </c>
      <c r="C9" t="s">
        <v>3004</v>
      </c>
      <c r="D9" t="s">
        <v>3114</v>
      </c>
      <c r="E9" t="s">
        <v>3115</v>
      </c>
      <c r="F9" s="207">
        <v>46312</v>
      </c>
      <c r="G9">
        <v>2.48</v>
      </c>
      <c r="H9">
        <v>40000000</v>
      </c>
      <c r="I9">
        <v>38925446576</v>
      </c>
      <c r="J9">
        <v>2.8460000000000001</v>
      </c>
      <c r="K9">
        <v>9853</v>
      </c>
      <c r="L9">
        <v>39412000000</v>
      </c>
      <c r="M9">
        <v>10936986</v>
      </c>
      <c r="N9">
        <v>475616438</v>
      </c>
      <c r="O9">
        <v>269063014</v>
      </c>
      <c r="P9">
        <v>206553424</v>
      </c>
      <c r="Q9">
        <v>0</v>
      </c>
      <c r="S9">
        <v>0</v>
      </c>
      <c r="T9">
        <v>66586300</v>
      </c>
      <c r="U9">
        <v>6658630</v>
      </c>
      <c r="V9">
        <v>0.52143333329999997</v>
      </c>
      <c r="W9">
        <v>0.50933333329999997</v>
      </c>
      <c r="X9">
        <v>0.67600000000000005</v>
      </c>
      <c r="Y9" t="s">
        <v>3007</v>
      </c>
      <c r="Z9">
        <v>9854.4599999999991</v>
      </c>
      <c r="AA9" t="s">
        <v>3007</v>
      </c>
      <c r="AB9">
        <v>9854.06</v>
      </c>
      <c r="AC9" t="s">
        <v>3007</v>
      </c>
      <c r="AD9">
        <v>9853.4</v>
      </c>
      <c r="AE9" t="s">
        <v>3007</v>
      </c>
      <c r="AF9" t="s">
        <v>3066</v>
      </c>
      <c r="AG9" t="s">
        <v>185</v>
      </c>
      <c r="AI9" t="s">
        <v>186</v>
      </c>
      <c r="AJ9" t="s">
        <v>3116</v>
      </c>
      <c r="AK9" t="s">
        <v>3009</v>
      </c>
    </row>
    <row r="10" spans="1:38" x14ac:dyDescent="0.3">
      <c r="A10">
        <v>7120</v>
      </c>
      <c r="B10" s="207">
        <v>46121</v>
      </c>
      <c r="C10" t="s">
        <v>3004</v>
      </c>
      <c r="D10" t="s">
        <v>3322</v>
      </c>
      <c r="E10" t="s">
        <v>3323</v>
      </c>
      <c r="F10" s="207">
        <v>46133</v>
      </c>
      <c r="G10">
        <v>3.17</v>
      </c>
      <c r="H10">
        <v>10000000</v>
      </c>
      <c r="I10">
        <v>10010978261</v>
      </c>
      <c r="J10">
        <v>2.7290000000000001</v>
      </c>
      <c r="K10">
        <v>10070</v>
      </c>
      <c r="L10">
        <v>10070000000</v>
      </c>
      <c r="M10">
        <v>-10542149</v>
      </c>
      <c r="N10">
        <v>69563888</v>
      </c>
      <c r="O10">
        <v>69563888</v>
      </c>
      <c r="P10">
        <v>0</v>
      </c>
      <c r="Q10">
        <v>0</v>
      </c>
      <c r="S10">
        <v>0</v>
      </c>
      <c r="T10">
        <v>9738940</v>
      </c>
      <c r="U10">
        <v>973890</v>
      </c>
      <c r="V10">
        <v>3.1533333300000001E-2</v>
      </c>
      <c r="W10">
        <v>3.1300000000000001E-2</v>
      </c>
      <c r="X10">
        <v>6.5666665999999999E-3</v>
      </c>
      <c r="Y10" t="s">
        <v>3007</v>
      </c>
      <c r="Z10">
        <v>10070.870000000001</v>
      </c>
      <c r="AA10" t="s">
        <v>3007</v>
      </c>
      <c r="AB10">
        <v>10070.84</v>
      </c>
      <c r="AC10" t="s">
        <v>3007</v>
      </c>
      <c r="AD10">
        <v>10070.83</v>
      </c>
      <c r="AE10" t="s">
        <v>3007</v>
      </c>
      <c r="AF10" t="s">
        <v>3066</v>
      </c>
      <c r="AG10" t="s">
        <v>185</v>
      </c>
      <c r="AI10" t="s">
        <v>186</v>
      </c>
      <c r="AJ10" t="s">
        <v>3324</v>
      </c>
      <c r="AK10" t="s">
        <v>3009</v>
      </c>
    </row>
    <row r="11" spans="1:38" x14ac:dyDescent="0.3">
      <c r="A11">
        <v>7120</v>
      </c>
      <c r="B11" s="207">
        <v>46121</v>
      </c>
      <c r="C11" t="s">
        <v>3004</v>
      </c>
      <c r="D11" t="s">
        <v>3159</v>
      </c>
      <c r="E11" t="s">
        <v>3160</v>
      </c>
      <c r="F11" s="207">
        <v>46340</v>
      </c>
      <c r="G11">
        <v>3.25</v>
      </c>
      <c r="H11">
        <v>30000000</v>
      </c>
      <c r="I11">
        <v>30106826087</v>
      </c>
      <c r="J11">
        <v>2.8959999999999999</v>
      </c>
      <c r="K11">
        <v>10070</v>
      </c>
      <c r="L11">
        <v>30210000000</v>
      </c>
      <c r="M11">
        <v>-47458109</v>
      </c>
      <c r="N11">
        <v>150632022</v>
      </c>
      <c r="O11">
        <v>150632022</v>
      </c>
      <c r="P11">
        <v>0</v>
      </c>
      <c r="Q11">
        <v>0</v>
      </c>
      <c r="S11">
        <v>0</v>
      </c>
      <c r="T11">
        <v>21088480</v>
      </c>
      <c r="U11">
        <v>2108840</v>
      </c>
      <c r="V11">
        <v>0.59056666660000001</v>
      </c>
      <c r="W11">
        <v>0.58630000000000004</v>
      </c>
      <c r="X11">
        <v>0.4869</v>
      </c>
      <c r="Y11" t="s">
        <v>3007</v>
      </c>
      <c r="Z11">
        <v>10071.19</v>
      </c>
      <c r="AA11" t="s">
        <v>3007</v>
      </c>
      <c r="AB11">
        <v>10071.02</v>
      </c>
      <c r="AC11" t="s">
        <v>3007</v>
      </c>
      <c r="AD11">
        <v>10070.43</v>
      </c>
      <c r="AE11" t="s">
        <v>3007</v>
      </c>
      <c r="AF11" t="s">
        <v>3004</v>
      </c>
      <c r="AG11" t="s">
        <v>185</v>
      </c>
      <c r="AI11" t="s">
        <v>186</v>
      </c>
      <c r="AJ11" t="s">
        <v>3161</v>
      </c>
      <c r="AK11" t="s">
        <v>3009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82C6-6899-43A9-8E1C-FF69620F65D3}">
  <dimension ref="A1:Q27"/>
  <sheetViews>
    <sheetView workbookViewId="0">
      <selection activeCell="E22" sqref="E22"/>
    </sheetView>
  </sheetViews>
  <sheetFormatPr defaultRowHeight="16.5" x14ac:dyDescent="0.3"/>
  <cols>
    <col min="4" max="4" width="11.125" bestFit="1" customWidth="1"/>
  </cols>
  <sheetData>
    <row r="1" spans="1:17" x14ac:dyDescent="0.3">
      <c r="A1" t="s">
        <v>144</v>
      </c>
      <c r="B1" t="s">
        <v>147</v>
      </c>
      <c r="C1" t="s">
        <v>148</v>
      </c>
      <c r="D1" t="s">
        <v>177</v>
      </c>
      <c r="E1" t="s">
        <v>3395</v>
      </c>
      <c r="F1" t="s">
        <v>3396</v>
      </c>
      <c r="G1" t="s">
        <v>3397</v>
      </c>
      <c r="H1" t="s">
        <v>3398</v>
      </c>
      <c r="I1" t="s">
        <v>3399</v>
      </c>
      <c r="J1" t="s">
        <v>3400</v>
      </c>
      <c r="K1" t="s">
        <v>3401</v>
      </c>
      <c r="L1" t="s">
        <v>160</v>
      </c>
      <c r="M1" t="s">
        <v>3326</v>
      </c>
      <c r="N1" t="s">
        <v>3402</v>
      </c>
      <c r="O1" t="s">
        <v>3403</v>
      </c>
      <c r="P1" t="s">
        <v>3404</v>
      </c>
      <c r="Q1" t="s">
        <v>3405</v>
      </c>
    </row>
    <row r="2" spans="1:17" x14ac:dyDescent="0.3">
      <c r="A2">
        <v>7120</v>
      </c>
      <c r="B2" t="s">
        <v>3362</v>
      </c>
      <c r="C2" t="s">
        <v>3363</v>
      </c>
      <c r="D2" s="207">
        <v>44483</v>
      </c>
      <c r="E2">
        <v>2000000</v>
      </c>
      <c r="F2">
        <v>0</v>
      </c>
      <c r="G2">
        <v>0</v>
      </c>
      <c r="H2">
        <v>0</v>
      </c>
      <c r="I2">
        <v>1875240</v>
      </c>
      <c r="J2">
        <v>2376491652</v>
      </c>
      <c r="K2">
        <v>95.423699999999997</v>
      </c>
      <c r="L2">
        <v>0</v>
      </c>
      <c r="M2">
        <v>244.44</v>
      </c>
      <c r="N2">
        <v>0</v>
      </c>
      <c r="O2">
        <v>0</v>
      </c>
      <c r="P2">
        <v>0</v>
      </c>
      <c r="Q2" t="s">
        <v>3179</v>
      </c>
    </row>
    <row r="3" spans="1:17" x14ac:dyDescent="0.3">
      <c r="A3">
        <v>7120</v>
      </c>
      <c r="B3" t="s">
        <v>3367</v>
      </c>
      <c r="C3" t="s">
        <v>3368</v>
      </c>
      <c r="D3" s="207">
        <v>44481</v>
      </c>
      <c r="E3">
        <v>3000000</v>
      </c>
      <c r="F3">
        <v>0</v>
      </c>
      <c r="G3">
        <v>0</v>
      </c>
      <c r="H3">
        <v>0</v>
      </c>
      <c r="I3">
        <v>2805030</v>
      </c>
      <c r="J3">
        <v>3554814519</v>
      </c>
      <c r="K3">
        <v>95.366</v>
      </c>
      <c r="L3">
        <v>0</v>
      </c>
      <c r="M3">
        <v>0</v>
      </c>
      <c r="N3">
        <v>0</v>
      </c>
      <c r="O3">
        <v>0</v>
      </c>
      <c r="P3">
        <v>0</v>
      </c>
      <c r="Q3" t="s">
        <v>3112</v>
      </c>
    </row>
    <row r="27" spans="1:1" x14ac:dyDescent="0.3">
      <c r="A27" t="s">
        <v>3406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0D0E-2724-4CB9-8DE9-370BB90A4387}">
  <dimension ref="A1:AL2"/>
  <sheetViews>
    <sheetView topLeftCell="A2" workbookViewId="0">
      <selection activeCell="B3" sqref="B3"/>
    </sheetView>
  </sheetViews>
  <sheetFormatPr defaultRowHeight="16.5" x14ac:dyDescent="0.3"/>
  <sheetData>
    <row r="1" spans="1:38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</row>
    <row r="2" spans="1:38" x14ac:dyDescent="0.3">
      <c r="A2">
        <v>9988</v>
      </c>
      <c r="B2" s="207">
        <v>46121</v>
      </c>
      <c r="C2" t="s">
        <v>182</v>
      </c>
      <c r="D2" t="s">
        <v>3392</v>
      </c>
      <c r="E2" t="s">
        <v>3393</v>
      </c>
      <c r="F2" s="207">
        <v>49288</v>
      </c>
      <c r="G2">
        <v>3</v>
      </c>
      <c r="H2">
        <v>300000000</v>
      </c>
      <c r="I2">
        <v>306975474829</v>
      </c>
      <c r="J2">
        <v>3.65</v>
      </c>
      <c r="K2">
        <v>9619</v>
      </c>
      <c r="L2">
        <v>288570000000</v>
      </c>
      <c r="M2">
        <v>-21397233066</v>
      </c>
      <c r="N2">
        <v>2991758237</v>
      </c>
      <c r="O2">
        <v>2991758237</v>
      </c>
      <c r="P2">
        <v>0</v>
      </c>
      <c r="Q2">
        <v>0</v>
      </c>
      <c r="S2">
        <v>0</v>
      </c>
      <c r="T2">
        <v>418846100</v>
      </c>
      <c r="U2">
        <v>41884560</v>
      </c>
      <c r="V2">
        <v>7.5896333333000001</v>
      </c>
      <c r="W2">
        <v>7.4535999999999998</v>
      </c>
      <c r="X2">
        <v>64.302833333300001</v>
      </c>
      <c r="Z2">
        <v>9619.7999999999993</v>
      </c>
      <c r="AB2">
        <v>9618.3700000000008</v>
      </c>
      <c r="AD2">
        <v>9619.7999999999993</v>
      </c>
      <c r="AF2" t="s">
        <v>182</v>
      </c>
      <c r="AG2" t="s">
        <v>185</v>
      </c>
      <c r="AI2" t="s">
        <v>186</v>
      </c>
      <c r="AJ2" t="s">
        <v>3394</v>
      </c>
      <c r="AK2" t="s">
        <v>188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6586-175A-4CF3-9DFD-AFBDAFFC5A0C}">
  <dimension ref="A1:AK3"/>
  <sheetViews>
    <sheetView topLeftCell="G1" workbookViewId="0">
      <selection activeCell="AB8" sqref="AB8"/>
    </sheetView>
  </sheetViews>
  <sheetFormatPr defaultRowHeight="16.5" x14ac:dyDescent="0.3"/>
  <cols>
    <col min="1" max="1" width="11.125" bestFit="1" customWidth="1"/>
    <col min="3" max="3" width="5.5" bestFit="1" customWidth="1"/>
    <col min="4" max="4" width="11.375" bestFit="1" customWidth="1"/>
    <col min="5" max="5" width="14.625" bestFit="1" customWidth="1"/>
    <col min="6" max="6" width="20.375" bestFit="1" customWidth="1"/>
    <col min="7" max="8" width="11.125" bestFit="1" customWidth="1"/>
    <col min="9" max="9" width="5.25" bestFit="1" customWidth="1"/>
    <col min="10" max="10" width="8.5" bestFit="1" customWidth="1"/>
    <col min="12" max="12" width="7.125" bestFit="1" customWidth="1"/>
    <col min="13" max="24" width="13" bestFit="1" customWidth="1"/>
    <col min="25" max="26" width="17.25" bestFit="1" customWidth="1"/>
    <col min="27" max="28" width="13" bestFit="1" customWidth="1"/>
    <col min="29" max="29" width="17.25" bestFit="1" customWidth="1"/>
    <col min="30" max="31" width="13" bestFit="1" customWidth="1"/>
    <col min="32" max="32" width="17.25" bestFit="1" customWidth="1"/>
    <col min="33" max="34" width="13" bestFit="1" customWidth="1"/>
  </cols>
  <sheetData>
    <row r="1" spans="1:37" x14ac:dyDescent="0.3">
      <c r="A1" t="s">
        <v>145</v>
      </c>
      <c r="B1" t="s">
        <v>3330</v>
      </c>
      <c r="C1" t="s">
        <v>3331</v>
      </c>
      <c r="D1" t="s">
        <v>3332</v>
      </c>
      <c r="E1" t="s">
        <v>147</v>
      </c>
      <c r="F1" t="s">
        <v>148</v>
      </c>
      <c r="G1" t="s">
        <v>177</v>
      </c>
      <c r="H1" t="s">
        <v>149</v>
      </c>
      <c r="I1" t="s">
        <v>3333</v>
      </c>
      <c r="J1" t="s">
        <v>151</v>
      </c>
      <c r="K1" t="s">
        <v>3334</v>
      </c>
      <c r="L1" t="s">
        <v>3335</v>
      </c>
      <c r="M1" t="s">
        <v>3336</v>
      </c>
      <c r="N1" t="s">
        <v>3337</v>
      </c>
      <c r="O1" t="s">
        <v>3338</v>
      </c>
      <c r="P1" t="s">
        <v>3339</v>
      </c>
      <c r="Q1" t="s">
        <v>3340</v>
      </c>
      <c r="R1" t="s">
        <v>3341</v>
      </c>
      <c r="S1" t="s">
        <v>3342</v>
      </c>
      <c r="T1" t="s">
        <v>3343</v>
      </c>
      <c r="U1" t="s">
        <v>3344</v>
      </c>
      <c r="V1" t="s">
        <v>3345</v>
      </c>
      <c r="W1" t="s">
        <v>3346</v>
      </c>
      <c r="X1" t="s">
        <v>3347</v>
      </c>
      <c r="Y1" t="s">
        <v>3348</v>
      </c>
      <c r="Z1" t="s">
        <v>3349</v>
      </c>
      <c r="AA1" t="s">
        <v>3350</v>
      </c>
      <c r="AB1" t="s">
        <v>3351</v>
      </c>
      <c r="AC1" t="s">
        <v>3352</v>
      </c>
      <c r="AD1" t="s">
        <v>3353</v>
      </c>
      <c r="AE1" t="s">
        <v>3354</v>
      </c>
      <c r="AF1" t="s">
        <v>3355</v>
      </c>
      <c r="AG1" t="s">
        <v>3356</v>
      </c>
      <c r="AH1" t="s">
        <v>3357</v>
      </c>
      <c r="AI1" t="s">
        <v>3358</v>
      </c>
      <c r="AJ1" t="s">
        <v>3359</v>
      </c>
      <c r="AK1" t="s">
        <v>181</v>
      </c>
    </row>
    <row r="2" spans="1:37" x14ac:dyDescent="0.3">
      <c r="A2" s="207">
        <v>45023</v>
      </c>
      <c r="B2" t="s">
        <v>3360</v>
      </c>
      <c r="C2">
        <v>7120</v>
      </c>
      <c r="D2" t="s">
        <v>3361</v>
      </c>
      <c r="E2" t="s">
        <v>3362</v>
      </c>
      <c r="F2" t="s">
        <v>3363</v>
      </c>
      <c r="G2" s="207">
        <v>44483</v>
      </c>
      <c r="H2" s="207">
        <v>45463</v>
      </c>
      <c r="I2" t="s">
        <v>3329</v>
      </c>
      <c r="J2">
        <v>2000000</v>
      </c>
      <c r="K2">
        <v>1318.7</v>
      </c>
      <c r="L2">
        <v>4.3550000000000004</v>
      </c>
      <c r="M2">
        <v>93.762</v>
      </c>
      <c r="N2">
        <v>1875240</v>
      </c>
      <c r="O2">
        <v>2376491652</v>
      </c>
      <c r="P2">
        <v>95.424000000000007</v>
      </c>
      <c r="Q2">
        <v>1908480</v>
      </c>
      <c r="R2">
        <v>2516712576</v>
      </c>
      <c r="S2">
        <v>33240</v>
      </c>
      <c r="T2">
        <v>43833588</v>
      </c>
      <c r="U2">
        <v>96387336</v>
      </c>
      <c r="V2">
        <v>140220924</v>
      </c>
      <c r="W2">
        <v>2400</v>
      </c>
      <c r="X2">
        <v>3164880</v>
      </c>
      <c r="Y2">
        <v>2155.56</v>
      </c>
      <c r="Z2">
        <v>2842537</v>
      </c>
      <c r="AA2">
        <v>244.44</v>
      </c>
      <c r="AB2">
        <v>322343</v>
      </c>
      <c r="AC2">
        <v>12565</v>
      </c>
      <c r="AD2">
        <v>0</v>
      </c>
      <c r="AE2">
        <v>0</v>
      </c>
      <c r="AF2">
        <v>0</v>
      </c>
      <c r="AG2" t="s">
        <v>3364</v>
      </c>
      <c r="AH2" t="s">
        <v>3365</v>
      </c>
      <c r="AI2">
        <v>410</v>
      </c>
      <c r="AJ2" t="s">
        <v>3366</v>
      </c>
    </row>
    <row r="3" spans="1:37" x14ac:dyDescent="0.3">
      <c r="A3" s="207">
        <v>45023</v>
      </c>
      <c r="B3" t="s">
        <v>3360</v>
      </c>
      <c r="C3">
        <v>7120</v>
      </c>
      <c r="D3" t="s">
        <v>3361</v>
      </c>
      <c r="E3" t="s">
        <v>3367</v>
      </c>
      <c r="F3" t="s">
        <v>3368</v>
      </c>
      <c r="G3" s="207">
        <v>44481</v>
      </c>
      <c r="H3" s="207">
        <v>45501</v>
      </c>
      <c r="I3" t="s">
        <v>3329</v>
      </c>
      <c r="J3">
        <v>3000000</v>
      </c>
      <c r="K3">
        <v>1318.7</v>
      </c>
      <c r="L3">
        <v>4.5629999999999997</v>
      </c>
      <c r="M3">
        <v>93.501000000000005</v>
      </c>
      <c r="N3">
        <v>2805030</v>
      </c>
      <c r="O3">
        <v>3554814519</v>
      </c>
      <c r="P3">
        <v>95.366</v>
      </c>
      <c r="Q3">
        <v>2860980</v>
      </c>
      <c r="R3">
        <v>3772774326</v>
      </c>
      <c r="S3">
        <v>55950</v>
      </c>
      <c r="T3">
        <v>73781265</v>
      </c>
      <c r="U3">
        <v>144178542</v>
      </c>
      <c r="V3">
        <v>217959807</v>
      </c>
      <c r="W3">
        <v>5031.25</v>
      </c>
      <c r="X3">
        <v>6634709</v>
      </c>
      <c r="Y3">
        <v>5031.25</v>
      </c>
      <c r="Z3">
        <v>6634709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3369</v>
      </c>
      <c r="AH3" t="s">
        <v>3370</v>
      </c>
      <c r="AI3">
        <v>410</v>
      </c>
      <c r="AJ3" t="s">
        <v>3366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9952-E835-4857-B9B4-7920094113A2}">
  <dimension ref="A1:AR4"/>
  <sheetViews>
    <sheetView workbookViewId="0">
      <selection activeCell="G10" sqref="G10"/>
    </sheetView>
  </sheetViews>
  <sheetFormatPr defaultRowHeight="16.5" x14ac:dyDescent="0.3"/>
  <cols>
    <col min="1" max="1" width="3.75" bestFit="1" customWidth="1"/>
    <col min="2" max="2" width="8.875" bestFit="1" customWidth="1"/>
    <col min="3" max="4" width="6.75" bestFit="1" customWidth="1"/>
    <col min="6" max="6" width="7.125" bestFit="1" customWidth="1"/>
    <col min="7" max="7" width="22" bestFit="1" customWidth="1"/>
    <col min="8" max="8" width="13.375" bestFit="1" customWidth="1"/>
    <col min="9" max="9" width="17.375" bestFit="1" customWidth="1"/>
    <col min="10" max="10" width="12.75" bestFit="1" customWidth="1"/>
    <col min="11" max="11" width="20.625" bestFit="1" customWidth="1"/>
    <col min="12" max="12" width="12.75" bestFit="1" customWidth="1"/>
    <col min="13" max="13" width="12.125" bestFit="1" customWidth="1"/>
    <col min="14" max="14" width="21.25" bestFit="1" customWidth="1"/>
    <col min="15" max="15" width="9.75" bestFit="1" customWidth="1"/>
    <col min="16" max="16" width="11.625" bestFit="1" customWidth="1"/>
    <col min="17" max="17" width="11.25" bestFit="1" customWidth="1"/>
    <col min="18" max="18" width="5.25" bestFit="1" customWidth="1"/>
    <col min="21" max="21" width="12.875" bestFit="1" customWidth="1"/>
    <col min="22" max="22" width="10.125" bestFit="1" customWidth="1"/>
    <col min="23" max="23" width="11.75" bestFit="1" customWidth="1"/>
    <col min="24" max="24" width="13.875" bestFit="1" customWidth="1"/>
    <col min="25" max="26" width="16.625" bestFit="1" customWidth="1"/>
    <col min="27" max="27" width="13" bestFit="1" customWidth="1"/>
    <col min="28" max="34" width="5.25" bestFit="1" customWidth="1"/>
    <col min="35" max="35" width="12.25" bestFit="1" customWidth="1"/>
    <col min="36" max="36" width="10.25" bestFit="1" customWidth="1"/>
    <col min="37" max="37" width="17.875" bestFit="1" customWidth="1"/>
    <col min="38" max="41" width="5.25" bestFit="1" customWidth="1"/>
    <col min="42" max="42" width="12.25" bestFit="1" customWidth="1"/>
    <col min="43" max="43" width="10.25" bestFit="1" customWidth="1"/>
    <col min="44" max="44" width="17.875" bestFit="1" customWidth="1"/>
  </cols>
  <sheetData>
    <row r="1" spans="1:44" x14ac:dyDescent="0.3">
      <c r="A1" s="242" t="s">
        <v>3407</v>
      </c>
      <c r="B1" s="241" t="s">
        <v>3408</v>
      </c>
      <c r="C1" s="241" t="s">
        <v>3409</v>
      </c>
      <c r="D1" s="241" t="s">
        <v>3410</v>
      </c>
      <c r="E1" s="241" t="s">
        <v>3411</v>
      </c>
      <c r="F1" s="241" t="s">
        <v>3412</v>
      </c>
      <c r="G1" s="241" t="s">
        <v>3413</v>
      </c>
      <c r="H1" s="241" t="s">
        <v>3414</v>
      </c>
      <c r="I1" s="241" t="s">
        <v>3415</v>
      </c>
      <c r="J1" s="241" t="s">
        <v>3325</v>
      </c>
      <c r="K1" s="241" t="s">
        <v>3416</v>
      </c>
      <c r="L1" s="241" t="s">
        <v>3417</v>
      </c>
      <c r="M1" s="241" t="s">
        <v>3418</v>
      </c>
      <c r="N1" s="241" t="s">
        <v>3419</v>
      </c>
      <c r="O1" s="241" t="s">
        <v>3327</v>
      </c>
      <c r="P1" s="241" t="s">
        <v>3420</v>
      </c>
      <c r="Q1" s="241" t="s">
        <v>3421</v>
      </c>
      <c r="R1" s="241" t="s">
        <v>3333</v>
      </c>
      <c r="S1" s="241" t="s">
        <v>3422</v>
      </c>
      <c r="T1" s="241" t="s">
        <v>3423</v>
      </c>
      <c r="U1" s="241" t="s">
        <v>3424</v>
      </c>
      <c r="V1" s="241" t="s">
        <v>155</v>
      </c>
      <c r="W1" s="241" t="s">
        <v>3425</v>
      </c>
      <c r="X1" s="241" t="s">
        <v>3426</v>
      </c>
      <c r="Y1" s="241" t="s">
        <v>3427</v>
      </c>
      <c r="Z1" s="241" t="s">
        <v>3428</v>
      </c>
      <c r="AA1" s="241" t="s">
        <v>3429</v>
      </c>
      <c r="AB1" s="241" t="s">
        <v>3430</v>
      </c>
      <c r="AC1" s="241" t="s">
        <v>3430</v>
      </c>
      <c r="AD1" s="241" t="s">
        <v>3430</v>
      </c>
      <c r="AE1" s="241" t="s">
        <v>3431</v>
      </c>
      <c r="AF1" s="241" t="s">
        <v>3431</v>
      </c>
      <c r="AG1" s="241" t="s">
        <v>3431</v>
      </c>
      <c r="AH1" s="241" t="s">
        <v>3431</v>
      </c>
      <c r="AI1" s="241" t="s">
        <v>3431</v>
      </c>
      <c r="AJ1" s="241" t="s">
        <v>3431</v>
      </c>
      <c r="AK1" s="241" t="s">
        <v>3431</v>
      </c>
      <c r="AL1" s="241" t="s">
        <v>3432</v>
      </c>
      <c r="AM1" s="241" t="s">
        <v>3432</v>
      </c>
      <c r="AN1" s="241" t="s">
        <v>3432</v>
      </c>
      <c r="AO1" s="241" t="s">
        <v>3432</v>
      </c>
      <c r="AP1" s="241" t="s">
        <v>3432</v>
      </c>
      <c r="AQ1" s="241" t="s">
        <v>3432</v>
      </c>
      <c r="AR1" s="241" t="s">
        <v>3432</v>
      </c>
    </row>
    <row r="2" spans="1:44" x14ac:dyDescent="0.3">
      <c r="A2" s="243" t="s">
        <v>3407</v>
      </c>
      <c r="B2" s="240" t="s">
        <v>3408</v>
      </c>
      <c r="C2" s="240" t="s">
        <v>3409</v>
      </c>
      <c r="D2" s="240" t="s">
        <v>3410</v>
      </c>
      <c r="E2" s="240" t="s">
        <v>3411</v>
      </c>
      <c r="F2" s="240" t="s">
        <v>3412</v>
      </c>
      <c r="G2" s="240" t="s">
        <v>3413</v>
      </c>
      <c r="H2" s="240" t="s">
        <v>3414</v>
      </c>
      <c r="I2" s="240" t="s">
        <v>3415</v>
      </c>
      <c r="J2" s="240" t="s">
        <v>3325</v>
      </c>
      <c r="K2" s="240" t="s">
        <v>3416</v>
      </c>
      <c r="L2" s="240" t="s">
        <v>3417</v>
      </c>
      <c r="M2" s="240" t="s">
        <v>3418</v>
      </c>
      <c r="N2" s="240" t="s">
        <v>3419</v>
      </c>
      <c r="O2" s="240" t="s">
        <v>3327</v>
      </c>
      <c r="P2" s="240" t="s">
        <v>3420</v>
      </c>
      <c r="Q2" s="240" t="s">
        <v>3421</v>
      </c>
      <c r="R2" s="240" t="s">
        <v>3333</v>
      </c>
      <c r="S2" s="240" t="s">
        <v>3422</v>
      </c>
      <c r="T2" s="240" t="s">
        <v>3423</v>
      </c>
      <c r="U2" s="240" t="s">
        <v>3424</v>
      </c>
      <c r="V2" s="240" t="s">
        <v>155</v>
      </c>
      <c r="W2" s="240" t="s">
        <v>3425</v>
      </c>
      <c r="X2" s="240" t="s">
        <v>3426</v>
      </c>
      <c r="Y2" s="240" t="s">
        <v>3427</v>
      </c>
      <c r="Z2" s="240" t="s">
        <v>3428</v>
      </c>
      <c r="AA2" s="240" t="s">
        <v>3429</v>
      </c>
      <c r="AB2" s="240" t="s">
        <v>3433</v>
      </c>
      <c r="AC2" s="240" t="s">
        <v>3434</v>
      </c>
      <c r="AD2" s="240" t="s">
        <v>3435</v>
      </c>
      <c r="AE2" s="240" t="s">
        <v>3436</v>
      </c>
      <c r="AF2" s="240" t="s">
        <v>3433</v>
      </c>
      <c r="AG2" s="240" t="s">
        <v>3434</v>
      </c>
      <c r="AH2" s="240" t="s">
        <v>3437</v>
      </c>
      <c r="AI2" s="240" t="s">
        <v>3438</v>
      </c>
      <c r="AJ2" s="240" t="s">
        <v>3439</v>
      </c>
      <c r="AK2" s="240" t="s">
        <v>3440</v>
      </c>
      <c r="AL2" s="240" t="s">
        <v>3436</v>
      </c>
      <c r="AM2" s="240" t="s">
        <v>3433</v>
      </c>
      <c r="AN2" s="240" t="s">
        <v>3434</v>
      </c>
      <c r="AO2" s="240" t="s">
        <v>3437</v>
      </c>
      <c r="AP2" s="240" t="s">
        <v>3438</v>
      </c>
      <c r="AQ2" s="240" t="s">
        <v>3439</v>
      </c>
      <c r="AR2" s="240" t="s">
        <v>3440</v>
      </c>
    </row>
    <row r="3" spans="1:44" x14ac:dyDescent="0.3">
      <c r="A3" s="243" t="s">
        <v>3407</v>
      </c>
      <c r="B3" s="240" t="s">
        <v>3408</v>
      </c>
      <c r="C3" s="240" t="s">
        <v>3409</v>
      </c>
      <c r="D3" s="240" t="s">
        <v>3410</v>
      </c>
      <c r="E3" s="240" t="s">
        <v>3411</v>
      </c>
      <c r="F3" s="240" t="s">
        <v>3412</v>
      </c>
      <c r="G3" s="240" t="s">
        <v>3413</v>
      </c>
      <c r="H3" s="240" t="s">
        <v>3414</v>
      </c>
      <c r="I3" s="240" t="s">
        <v>3415</v>
      </c>
      <c r="J3" s="240" t="s">
        <v>3325</v>
      </c>
      <c r="K3" s="240" t="s">
        <v>3416</v>
      </c>
      <c r="L3" s="240" t="s">
        <v>3417</v>
      </c>
      <c r="M3" s="240" t="s">
        <v>3418</v>
      </c>
      <c r="N3" s="240" t="s">
        <v>3419</v>
      </c>
      <c r="O3" s="240" t="s">
        <v>3327</v>
      </c>
      <c r="P3" s="240" t="s">
        <v>3420</v>
      </c>
      <c r="Q3" s="240" t="s">
        <v>3421</v>
      </c>
      <c r="R3" s="240" t="s">
        <v>3333</v>
      </c>
      <c r="S3" s="240" t="s">
        <v>3422</v>
      </c>
      <c r="T3" s="240" t="s">
        <v>3423</v>
      </c>
      <c r="U3" s="240" t="s">
        <v>3424</v>
      </c>
      <c r="V3" s="240" t="s">
        <v>155</v>
      </c>
      <c r="W3" s="240" t="s">
        <v>3425</v>
      </c>
      <c r="X3" s="240" t="s">
        <v>3426</v>
      </c>
      <c r="Y3" s="240" t="s">
        <v>3427</v>
      </c>
      <c r="Z3" s="240" t="s">
        <v>3428</v>
      </c>
      <c r="AA3" s="240" t="s">
        <v>3429</v>
      </c>
      <c r="AB3" s="240" t="s">
        <v>3433</v>
      </c>
      <c r="AC3" s="240" t="s">
        <v>3434</v>
      </c>
      <c r="AD3" s="240" t="s">
        <v>3435</v>
      </c>
      <c r="AE3" s="240" t="s">
        <v>3436</v>
      </c>
      <c r="AF3" s="240" t="s">
        <v>3433</v>
      </c>
      <c r="AG3" s="240" t="s">
        <v>3434</v>
      </c>
      <c r="AH3" s="240" t="s">
        <v>3437</v>
      </c>
      <c r="AI3" s="240" t="s">
        <v>3438</v>
      </c>
      <c r="AJ3" s="240" t="s">
        <v>3439</v>
      </c>
      <c r="AK3" s="240" t="s">
        <v>3440</v>
      </c>
      <c r="AL3" s="240" t="s">
        <v>3436</v>
      </c>
      <c r="AM3" s="240" t="s">
        <v>3433</v>
      </c>
      <c r="AN3" s="240" t="s">
        <v>3434</v>
      </c>
      <c r="AO3" s="240" t="s">
        <v>3437</v>
      </c>
      <c r="AP3" s="240" t="s">
        <v>3438</v>
      </c>
      <c r="AQ3" s="240" t="s">
        <v>3439</v>
      </c>
      <c r="AR3" s="240" t="s">
        <v>3440</v>
      </c>
    </row>
    <row r="4" spans="1:44" x14ac:dyDescent="0.25">
      <c r="A4" s="208">
        <v>1</v>
      </c>
      <c r="B4" s="209" t="s">
        <v>3441</v>
      </c>
      <c r="C4" s="209">
        <v>529775</v>
      </c>
      <c r="D4" s="209"/>
      <c r="E4" s="209" t="s">
        <v>3442</v>
      </c>
      <c r="F4" s="209" t="s">
        <v>3443</v>
      </c>
      <c r="G4" s="209" t="s">
        <v>3328</v>
      </c>
      <c r="H4" s="210">
        <v>10000000000</v>
      </c>
      <c r="I4" s="209" t="s">
        <v>3328</v>
      </c>
      <c r="J4" s="210">
        <v>10000000000</v>
      </c>
      <c r="K4" s="209" t="s">
        <v>3328</v>
      </c>
      <c r="L4" s="210">
        <v>10000000000</v>
      </c>
      <c r="M4" s="209" t="s">
        <v>3444</v>
      </c>
      <c r="N4" s="209" t="s">
        <v>3445</v>
      </c>
      <c r="O4" s="209" t="s">
        <v>3446</v>
      </c>
      <c r="P4" s="209" t="s">
        <v>3447</v>
      </c>
      <c r="Q4" s="209" t="s">
        <v>3328</v>
      </c>
      <c r="R4" s="209" t="s">
        <v>3328</v>
      </c>
      <c r="S4" s="210">
        <v>0</v>
      </c>
      <c r="T4" s="210">
        <v>0</v>
      </c>
      <c r="U4" s="210">
        <v>0</v>
      </c>
      <c r="V4" s="210">
        <v>-17484086</v>
      </c>
      <c r="W4" s="210">
        <v>-17484086</v>
      </c>
      <c r="X4" s="210">
        <v>-867022</v>
      </c>
      <c r="Y4" s="211">
        <v>1545205.4794520501</v>
      </c>
      <c r="Z4" s="211">
        <v>1882191.7808219199</v>
      </c>
      <c r="AA4" s="209" t="s">
        <v>3448</v>
      </c>
      <c r="AB4" s="210">
        <v>0</v>
      </c>
      <c r="AC4" s="210">
        <v>0</v>
      </c>
      <c r="AD4" s="209"/>
      <c r="AE4" s="210">
        <v>0</v>
      </c>
      <c r="AF4" s="210">
        <v>0</v>
      </c>
      <c r="AG4" s="210">
        <v>0</v>
      </c>
      <c r="AH4" s="210">
        <v>0</v>
      </c>
      <c r="AI4" s="210">
        <v>0</v>
      </c>
      <c r="AJ4" s="209"/>
      <c r="AK4" s="210">
        <v>0</v>
      </c>
      <c r="AL4" s="210">
        <v>0</v>
      </c>
      <c r="AM4" s="210">
        <v>0</v>
      </c>
      <c r="AN4" s="210">
        <v>0</v>
      </c>
      <c r="AO4" s="210">
        <v>0</v>
      </c>
      <c r="AP4" s="210">
        <v>0</v>
      </c>
      <c r="AQ4" s="209"/>
      <c r="AR4" s="210">
        <v>0</v>
      </c>
    </row>
  </sheetData>
  <mergeCells count="47"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X1:X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AL1:AR1"/>
    <mergeCell ref="AB2:AB3"/>
    <mergeCell ref="AC2:AC3"/>
    <mergeCell ref="AD2:AD3"/>
    <mergeCell ref="AE2:AE3"/>
    <mergeCell ref="AK2:AK3"/>
    <mergeCell ref="Y1:Y3"/>
    <mergeCell ref="Z1:Z3"/>
    <mergeCell ref="AA1:AA3"/>
    <mergeCell ref="AB1:AD1"/>
    <mergeCell ref="AE1:AK1"/>
    <mergeCell ref="AF2:AF3"/>
    <mergeCell ref="AG2:AG3"/>
    <mergeCell ref="AH2:AH3"/>
    <mergeCell ref="AI2:AI3"/>
    <mergeCell ref="AJ2:AJ3"/>
    <mergeCell ref="AR2:AR3"/>
    <mergeCell ref="AL2:AL3"/>
    <mergeCell ref="AM2:AM3"/>
    <mergeCell ref="AN2:AN3"/>
    <mergeCell ref="AO2:AO3"/>
    <mergeCell ref="AP2:AP3"/>
    <mergeCell ref="AQ2:AQ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B425-DCE5-445C-B125-5B4614C6DB66}">
  <dimension ref="A1:H30"/>
  <sheetViews>
    <sheetView workbookViewId="0">
      <selection activeCell="F22" sqref="F22"/>
    </sheetView>
  </sheetViews>
  <sheetFormatPr defaultRowHeight="16.5" x14ac:dyDescent="0.3"/>
  <sheetData>
    <row r="1" spans="1:8" ht="17.25" thickBot="1" x14ac:dyDescent="0.35">
      <c r="A1" s="78" t="s">
        <v>130</v>
      </c>
      <c r="B1" s="78" t="s">
        <v>131</v>
      </c>
      <c r="C1" s="68" t="s">
        <v>132</v>
      </c>
      <c r="D1" s="66" t="s">
        <v>133</v>
      </c>
      <c r="E1" s="78" t="s">
        <v>65</v>
      </c>
      <c r="F1" s="78" t="s">
        <v>134</v>
      </c>
      <c r="G1" s="78" t="s">
        <v>135</v>
      </c>
      <c r="H1" s="78" t="s">
        <v>136</v>
      </c>
    </row>
    <row r="2" spans="1:8" x14ac:dyDescent="0.3">
      <c r="A2" s="189">
        <v>8001</v>
      </c>
      <c r="B2" s="190" t="str">
        <f>VLOOKUP(A2,[1]펀드종류!$A$2:$B$218,2,FALSE)</f>
        <v>PD</v>
      </c>
      <c r="C2" s="191"/>
      <c r="D2" s="192">
        <v>-80</v>
      </c>
      <c r="E2" s="67">
        <f>ABS(C2)+ABS(D2)</f>
        <v>80</v>
      </c>
      <c r="F2" s="193">
        <f>C2*$C$27*$C$28/100</f>
        <v>0</v>
      </c>
      <c r="G2" s="193">
        <f>D2*$D$27*$D$28/100</f>
        <v>-707.39433600000007</v>
      </c>
      <c r="H2" s="193">
        <f>F2+G2</f>
        <v>-707.39433600000007</v>
      </c>
    </row>
    <row r="3" spans="1:8" x14ac:dyDescent="0.3">
      <c r="A3" s="189">
        <v>8002</v>
      </c>
      <c r="B3" s="190" t="str">
        <f>VLOOKUP(A3,[1]펀드종류!$A$2:$B$218,2,FALSE)</f>
        <v>리테일</v>
      </c>
      <c r="C3" s="194"/>
      <c r="D3" s="195"/>
      <c r="E3" s="67">
        <f t="shared" ref="E3:E23" si="0">ABS(C3)+ABS(D3)</f>
        <v>0</v>
      </c>
      <c r="F3" s="193">
        <f t="shared" ref="F3:F22" si="1">C3*$C$27*$C$28/100</f>
        <v>0</v>
      </c>
      <c r="G3" s="193">
        <f t="shared" ref="G3:G18" si="2">D3*$D$27*$D$28/100</f>
        <v>0</v>
      </c>
      <c r="H3" s="193">
        <f t="shared" ref="H3:H22" si="3">F3+G3</f>
        <v>0</v>
      </c>
    </row>
    <row r="4" spans="1:8" x14ac:dyDescent="0.3">
      <c r="A4" s="189">
        <v>8003</v>
      </c>
      <c r="B4" s="190" t="str">
        <f>VLOOKUP(A4,[1]펀드종류!$A$2:$B$218,2,FALSE)</f>
        <v>중개</v>
      </c>
      <c r="C4" s="194"/>
      <c r="D4" s="195"/>
      <c r="E4" s="67">
        <f t="shared" si="0"/>
        <v>0</v>
      </c>
      <c r="F4" s="193">
        <f t="shared" si="1"/>
        <v>0</v>
      </c>
      <c r="G4" s="193">
        <f t="shared" si="2"/>
        <v>0</v>
      </c>
      <c r="H4" s="193">
        <f t="shared" si="3"/>
        <v>0</v>
      </c>
    </row>
    <row r="5" spans="1:8" x14ac:dyDescent="0.3">
      <c r="A5" s="189">
        <v>8004</v>
      </c>
      <c r="B5" s="190" t="str">
        <f>VLOOKUP(A5,[1]펀드종류!$A$2:$B$218,2,FALSE)</f>
        <v>중개</v>
      </c>
      <c r="C5" s="194"/>
      <c r="D5" s="195"/>
      <c r="E5" s="67">
        <f t="shared" si="0"/>
        <v>0</v>
      </c>
      <c r="F5" s="193">
        <f t="shared" si="1"/>
        <v>0</v>
      </c>
      <c r="G5" s="193">
        <f t="shared" si="2"/>
        <v>0</v>
      </c>
      <c r="H5" s="193">
        <f t="shared" si="3"/>
        <v>0</v>
      </c>
    </row>
    <row r="6" spans="1:8" x14ac:dyDescent="0.3">
      <c r="A6" s="189">
        <v>8005</v>
      </c>
      <c r="B6" s="190" t="str">
        <f>VLOOKUP(A6,[1]펀드종류!$A$2:$B$218,2,FALSE)</f>
        <v>운용</v>
      </c>
      <c r="C6" s="194"/>
      <c r="D6" s="195"/>
      <c r="E6" s="67">
        <f t="shared" si="0"/>
        <v>0</v>
      </c>
      <c r="F6" s="193">
        <f t="shared" si="1"/>
        <v>0</v>
      </c>
      <c r="G6" s="193">
        <f t="shared" si="2"/>
        <v>0</v>
      </c>
      <c r="H6" s="193">
        <f t="shared" si="3"/>
        <v>0</v>
      </c>
    </row>
    <row r="7" spans="1:8" x14ac:dyDescent="0.3">
      <c r="A7" s="189">
        <v>8006</v>
      </c>
      <c r="B7" s="190" t="str">
        <f>VLOOKUP(A7,[1]펀드종류!$A$2:$B$218,2,FALSE)</f>
        <v>운용</v>
      </c>
      <c r="C7" s="194"/>
      <c r="D7" s="195"/>
      <c r="E7" s="67">
        <f t="shared" si="0"/>
        <v>0</v>
      </c>
      <c r="F7" s="193">
        <f t="shared" si="1"/>
        <v>0</v>
      </c>
      <c r="G7" s="193">
        <f t="shared" si="2"/>
        <v>0</v>
      </c>
      <c r="H7" s="193">
        <f t="shared" si="3"/>
        <v>0</v>
      </c>
    </row>
    <row r="8" spans="1:8" x14ac:dyDescent="0.3">
      <c r="A8" s="189">
        <v>8007</v>
      </c>
      <c r="B8" s="190" t="str">
        <f>VLOOKUP(A8,[1]펀드종류!$A$2:$B$218,2,FALSE)</f>
        <v>운용</v>
      </c>
      <c r="C8" s="194"/>
      <c r="D8" s="195"/>
      <c r="E8" s="67">
        <f t="shared" si="0"/>
        <v>0</v>
      </c>
      <c r="F8" s="193">
        <f t="shared" si="1"/>
        <v>0</v>
      </c>
      <c r="G8" s="193">
        <f t="shared" si="2"/>
        <v>0</v>
      </c>
      <c r="H8" s="193">
        <f t="shared" si="3"/>
        <v>0</v>
      </c>
    </row>
    <row r="9" spans="1:8" x14ac:dyDescent="0.3">
      <c r="A9" s="189">
        <v>8008</v>
      </c>
      <c r="B9" s="190" t="str">
        <f>VLOOKUP(A9,[1]펀드종류!$A$2:$B$218,2,FALSE)</f>
        <v>운용2</v>
      </c>
      <c r="C9" s="194"/>
      <c r="D9" s="195">
        <v>30</v>
      </c>
      <c r="E9" s="67">
        <f t="shared" si="0"/>
        <v>30</v>
      </c>
      <c r="F9" s="193">
        <f t="shared" si="1"/>
        <v>0</v>
      </c>
      <c r="G9" s="193">
        <f t="shared" si="2"/>
        <v>265.27287600000005</v>
      </c>
      <c r="H9" s="193">
        <f t="shared" si="3"/>
        <v>265.27287600000005</v>
      </c>
    </row>
    <row r="10" spans="1:8" x14ac:dyDescent="0.3">
      <c r="A10" s="189">
        <v>8009</v>
      </c>
      <c r="B10" s="190" t="str">
        <f>VLOOKUP(A10,[1]펀드종류!$A$2:$B$218,2,FALSE)</f>
        <v>운용</v>
      </c>
      <c r="C10" s="194"/>
      <c r="D10" s="195"/>
      <c r="E10" s="67">
        <f t="shared" si="0"/>
        <v>0</v>
      </c>
      <c r="F10" s="193">
        <f t="shared" si="1"/>
        <v>0</v>
      </c>
      <c r="G10" s="193">
        <f t="shared" si="2"/>
        <v>0</v>
      </c>
      <c r="H10" s="193">
        <f t="shared" si="3"/>
        <v>0</v>
      </c>
    </row>
    <row r="11" spans="1:8" x14ac:dyDescent="0.3">
      <c r="A11" s="189">
        <v>8010</v>
      </c>
      <c r="B11" s="190" t="str">
        <f>VLOOKUP(A11,[1]펀드종류!$A$2:$B$218,2,FALSE)</f>
        <v>RP</v>
      </c>
      <c r="C11" s="194"/>
      <c r="D11" s="195"/>
      <c r="E11" s="67">
        <f t="shared" si="0"/>
        <v>0</v>
      </c>
      <c r="F11" s="193">
        <f t="shared" si="1"/>
        <v>0</v>
      </c>
      <c r="G11" s="193">
        <f t="shared" si="2"/>
        <v>0</v>
      </c>
      <c r="H11" s="193">
        <f t="shared" si="3"/>
        <v>0</v>
      </c>
    </row>
    <row r="12" spans="1:8" x14ac:dyDescent="0.3">
      <c r="A12" s="189">
        <v>8011</v>
      </c>
      <c r="B12" s="190" t="str">
        <f>VLOOKUP(A12,[1]펀드종류!$A$2:$B$218,2,FALSE)</f>
        <v>운용</v>
      </c>
      <c r="C12" s="194">
        <v>300</v>
      </c>
      <c r="D12" s="195"/>
      <c r="E12" s="67">
        <f t="shared" si="0"/>
        <v>300</v>
      </c>
      <c r="F12" s="193">
        <f t="shared" si="1"/>
        <v>870.82088400000009</v>
      </c>
      <c r="G12" s="193">
        <f t="shared" si="2"/>
        <v>0</v>
      </c>
      <c r="H12" s="193">
        <f t="shared" si="3"/>
        <v>870.82088400000009</v>
      </c>
    </row>
    <row r="13" spans="1:8" x14ac:dyDescent="0.3">
      <c r="A13" s="189">
        <v>8012</v>
      </c>
      <c r="B13" s="190" t="str">
        <f>VLOOKUP(A13,[1]펀드종류!$A$2:$B$218,2,FALSE)</f>
        <v>운용</v>
      </c>
      <c r="C13" s="194"/>
      <c r="D13" s="195"/>
      <c r="E13" s="67">
        <f t="shared" si="0"/>
        <v>0</v>
      </c>
      <c r="F13" s="193">
        <f t="shared" si="1"/>
        <v>0</v>
      </c>
      <c r="G13" s="193">
        <f t="shared" si="2"/>
        <v>0</v>
      </c>
      <c r="H13" s="193">
        <f t="shared" si="3"/>
        <v>0</v>
      </c>
    </row>
    <row r="14" spans="1:8" x14ac:dyDescent="0.3">
      <c r="A14" s="189">
        <v>8013</v>
      </c>
      <c r="B14" s="190" t="str">
        <f>VLOOKUP(A14,[1]펀드종류!$A$2:$B$218,2,FALSE)</f>
        <v>CMA</v>
      </c>
      <c r="C14" s="194"/>
      <c r="D14" s="195"/>
      <c r="E14" s="67">
        <f t="shared" si="0"/>
        <v>0</v>
      </c>
      <c r="F14" s="193">
        <f t="shared" si="1"/>
        <v>0</v>
      </c>
      <c r="G14" s="193">
        <f t="shared" si="2"/>
        <v>0</v>
      </c>
      <c r="H14" s="193">
        <f t="shared" si="3"/>
        <v>0</v>
      </c>
    </row>
    <row r="15" spans="1:8" x14ac:dyDescent="0.3">
      <c r="A15" s="189">
        <v>8014</v>
      </c>
      <c r="B15" s="190" t="str">
        <f>VLOOKUP(A15,[1]펀드종류!$A$2:$B$218,2,FALSE)</f>
        <v>리테일</v>
      </c>
      <c r="C15" s="194"/>
      <c r="D15" s="195"/>
      <c r="E15" s="67">
        <f t="shared" si="0"/>
        <v>0</v>
      </c>
      <c r="F15" s="193">
        <f t="shared" si="1"/>
        <v>0</v>
      </c>
      <c r="G15" s="193">
        <f t="shared" si="2"/>
        <v>0</v>
      </c>
      <c r="H15" s="193">
        <f t="shared" si="3"/>
        <v>0</v>
      </c>
    </row>
    <row r="16" spans="1:8" x14ac:dyDescent="0.3">
      <c r="A16" s="189">
        <v>8015</v>
      </c>
      <c r="B16" s="190" t="str">
        <f>VLOOKUP(A16,[1]펀드종류!$A$2:$B$218,2,FALSE)</f>
        <v>운용</v>
      </c>
      <c r="C16" s="194"/>
      <c r="D16" s="195"/>
      <c r="E16" s="67">
        <f t="shared" si="0"/>
        <v>0</v>
      </c>
      <c r="F16" s="193">
        <f t="shared" si="1"/>
        <v>0</v>
      </c>
      <c r="G16" s="193">
        <f t="shared" si="2"/>
        <v>0</v>
      </c>
      <c r="H16" s="193">
        <f t="shared" si="3"/>
        <v>0</v>
      </c>
    </row>
    <row r="17" spans="1:8" x14ac:dyDescent="0.3">
      <c r="A17" s="189">
        <v>8016</v>
      </c>
      <c r="B17" s="190" t="str">
        <f>VLOOKUP(A17,[1]펀드종류!$A$2:$B$218,2,FALSE)</f>
        <v>운용</v>
      </c>
      <c r="C17" s="194">
        <v>-1500</v>
      </c>
      <c r="D17" s="195">
        <v>900</v>
      </c>
      <c r="E17" s="67">
        <f t="shared" si="0"/>
        <v>2400</v>
      </c>
      <c r="F17" s="193">
        <f t="shared" si="1"/>
        <v>-4354.1044199999997</v>
      </c>
      <c r="G17" s="193">
        <f t="shared" si="2"/>
        <v>7958.1862799999999</v>
      </c>
      <c r="H17" s="193">
        <f t="shared" si="3"/>
        <v>3604.0818600000002</v>
      </c>
    </row>
    <row r="18" spans="1:8" x14ac:dyDescent="0.3">
      <c r="A18" s="189">
        <v>8017</v>
      </c>
      <c r="B18" s="190" t="str">
        <f>VLOOKUP(A18,[1]펀드종류!$A$2:$B$218,2,FALSE)</f>
        <v>운용</v>
      </c>
      <c r="C18" s="194"/>
      <c r="D18" s="195"/>
      <c r="E18" s="67">
        <f t="shared" si="0"/>
        <v>0</v>
      </c>
      <c r="F18" s="193">
        <f t="shared" si="1"/>
        <v>0</v>
      </c>
      <c r="G18" s="193">
        <f t="shared" si="2"/>
        <v>0</v>
      </c>
      <c r="H18" s="193">
        <f t="shared" si="3"/>
        <v>0</v>
      </c>
    </row>
    <row r="19" spans="1:8" x14ac:dyDescent="0.3">
      <c r="A19" s="189">
        <v>8018</v>
      </c>
      <c r="B19" s="190"/>
      <c r="C19" s="194"/>
      <c r="D19" s="195"/>
      <c r="E19" s="67">
        <f t="shared" si="0"/>
        <v>0</v>
      </c>
      <c r="F19" s="193">
        <f t="shared" si="1"/>
        <v>0</v>
      </c>
      <c r="G19" s="193">
        <f>D19*$D$27*$D$28/100</f>
        <v>0</v>
      </c>
      <c r="H19" s="193">
        <f t="shared" si="3"/>
        <v>0</v>
      </c>
    </row>
    <row r="20" spans="1:8" x14ac:dyDescent="0.3">
      <c r="A20" s="189">
        <v>8019</v>
      </c>
      <c r="B20" s="190" t="str">
        <f>VLOOKUP(A20,[1]펀드종류!$A$2:$B$218,2,FALSE)</f>
        <v>운용</v>
      </c>
      <c r="C20" s="194"/>
      <c r="D20" s="195"/>
      <c r="E20" s="67">
        <f t="shared" si="0"/>
        <v>0</v>
      </c>
      <c r="F20" s="193">
        <f t="shared" si="1"/>
        <v>0</v>
      </c>
      <c r="G20" s="193">
        <f>D20*$D$27*$D$28/100</f>
        <v>0</v>
      </c>
      <c r="H20" s="193">
        <f t="shared" si="3"/>
        <v>0</v>
      </c>
    </row>
    <row r="21" spans="1:8" x14ac:dyDescent="0.3">
      <c r="A21" s="189">
        <v>8020</v>
      </c>
      <c r="B21" s="190"/>
      <c r="C21" s="196"/>
      <c r="D21" s="197"/>
      <c r="E21" s="67">
        <f t="shared" si="0"/>
        <v>0</v>
      </c>
      <c r="F21" s="193">
        <f t="shared" si="1"/>
        <v>0</v>
      </c>
      <c r="G21" s="193">
        <f t="shared" ref="G21:G22" si="4">D21*$D$27*$D$28/100</f>
        <v>0</v>
      </c>
      <c r="H21" s="193">
        <f t="shared" si="3"/>
        <v>0</v>
      </c>
    </row>
    <row r="22" spans="1:8" x14ac:dyDescent="0.3">
      <c r="A22" s="189">
        <v>8021</v>
      </c>
      <c r="B22" s="190" t="str">
        <f>VLOOKUP(A22,[1]펀드종류!$A$2:$B$218,2,FALSE)</f>
        <v>운용</v>
      </c>
      <c r="C22" s="196"/>
      <c r="D22" s="197"/>
      <c r="E22" s="67">
        <f t="shared" si="0"/>
        <v>0</v>
      </c>
      <c r="F22" s="193">
        <f t="shared" si="1"/>
        <v>0</v>
      </c>
      <c r="G22" s="193">
        <f t="shared" si="4"/>
        <v>0</v>
      </c>
      <c r="H22" s="193">
        <f t="shared" si="3"/>
        <v>0</v>
      </c>
    </row>
    <row r="23" spans="1:8" x14ac:dyDescent="0.3">
      <c r="A23" s="189">
        <v>8022</v>
      </c>
      <c r="B23" s="190" t="str">
        <f>VLOOKUP(A23,[1]펀드종류!$A$2:$B$218,2,FALSE)</f>
        <v>운용</v>
      </c>
      <c r="C23" s="196"/>
      <c r="D23" s="197"/>
      <c r="E23" s="67">
        <f t="shared" si="0"/>
        <v>0</v>
      </c>
      <c r="F23" s="193">
        <f>C23*$C$27*$C$28/100</f>
        <v>0</v>
      </c>
      <c r="G23" s="193">
        <f>D23*$D$27*$D$28/100</f>
        <v>0</v>
      </c>
      <c r="H23" s="193">
        <f>F23+G23</f>
        <v>0</v>
      </c>
    </row>
    <row r="24" spans="1:8" x14ac:dyDescent="0.3">
      <c r="A24" s="189">
        <v>8033</v>
      </c>
      <c r="B24" s="190" t="s">
        <v>137</v>
      </c>
      <c r="C24" s="196"/>
      <c r="D24" s="197"/>
      <c r="E24" s="67">
        <f>ABS(C24)+ABS(D24)</f>
        <v>0</v>
      </c>
      <c r="F24" s="193">
        <f>C24*$C$27*$C$28/100</f>
        <v>0</v>
      </c>
      <c r="G24" s="193">
        <f>D24*$D$27*$D$28/100</f>
        <v>0</v>
      </c>
      <c r="H24" s="193">
        <f>F24+G24</f>
        <v>0</v>
      </c>
    </row>
    <row r="25" spans="1:8" x14ac:dyDescent="0.3">
      <c r="A25" s="189">
        <v>9988</v>
      </c>
      <c r="B25" s="190" t="s">
        <v>138</v>
      </c>
      <c r="C25" s="196"/>
      <c r="D25" s="197"/>
      <c r="E25" s="67">
        <f>ABS(C25)+ABS(D25)</f>
        <v>0</v>
      </c>
      <c r="F25" s="193">
        <f>C25*$C$27*$C$28/100</f>
        <v>0</v>
      </c>
      <c r="G25" s="193">
        <f>D25*$D$27*$D$28/100</f>
        <v>0</v>
      </c>
      <c r="H25" s="193">
        <f>F25+G25</f>
        <v>0</v>
      </c>
    </row>
    <row r="26" spans="1:8" x14ac:dyDescent="0.3">
      <c r="A26" s="189">
        <v>7120</v>
      </c>
      <c r="B26" s="190" t="s">
        <v>139</v>
      </c>
      <c r="C26" s="196"/>
      <c r="D26" s="197"/>
      <c r="E26" s="67">
        <f>ABS(C26)+ABS(D26)</f>
        <v>0</v>
      </c>
      <c r="F26" s="193">
        <f>C26*$C$27*$C$28/100</f>
        <v>0</v>
      </c>
      <c r="G26" s="193">
        <f>D26*$D$27*$D$28/100</f>
        <v>0</v>
      </c>
      <c r="H26" s="193">
        <f>F26+G26</f>
        <v>0</v>
      </c>
    </row>
    <row r="27" spans="1:8" ht="17.25" thickBot="1" x14ac:dyDescent="0.35">
      <c r="A27" s="198" t="s">
        <v>140</v>
      </c>
      <c r="B27" s="199"/>
      <c r="C27" s="200">
        <v>2.7795999999999998</v>
      </c>
      <c r="D27" s="201">
        <v>7.9640000000000004</v>
      </c>
      <c r="E27" s="202" t="s">
        <v>141</v>
      </c>
      <c r="F27" s="203" t="s">
        <v>142</v>
      </c>
      <c r="G27" s="203"/>
      <c r="H27" s="203"/>
    </row>
    <row r="28" spans="1:8" x14ac:dyDescent="0.3">
      <c r="A28" s="61" t="s">
        <v>143</v>
      </c>
      <c r="B28" s="61"/>
      <c r="C28" s="204">
        <v>104.43</v>
      </c>
      <c r="D28" s="204">
        <v>111.03</v>
      </c>
      <c r="E28" s="61"/>
      <c r="F28" s="61"/>
      <c r="G28" s="61"/>
      <c r="H28" s="61"/>
    </row>
    <row r="29" spans="1:8" x14ac:dyDescent="0.3">
      <c r="A29" s="61"/>
      <c r="B29" s="61"/>
      <c r="C29" s="61"/>
      <c r="D29" s="61"/>
      <c r="E29" s="61"/>
      <c r="F29" s="61"/>
      <c r="G29" s="61"/>
      <c r="H29" s="61"/>
    </row>
    <row r="30" spans="1:8" x14ac:dyDescent="0.3">
      <c r="A30" s="61"/>
      <c r="B30" s="61"/>
      <c r="C30" s="205">
        <f>SUM(C2:C26)</f>
        <v>-1200</v>
      </c>
      <c r="D30" s="61">
        <f>SUM(D2:D26)</f>
        <v>850</v>
      </c>
      <c r="E30" s="206">
        <f>SUM(C30:D30)</f>
        <v>-350</v>
      </c>
      <c r="F30" s="61"/>
      <c r="G30" s="61"/>
      <c r="H30" s="6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4AC5-5795-445B-BCB2-37BE49011C67}">
  <sheetPr codeName="Sheet15">
    <tabColor rgb="FFC00000"/>
  </sheetPr>
  <dimension ref="A1:Q138"/>
  <sheetViews>
    <sheetView workbookViewId="0">
      <selection activeCell="I21" sqref="I21"/>
    </sheetView>
  </sheetViews>
  <sheetFormatPr defaultRowHeight="16.5" x14ac:dyDescent="0.3"/>
  <cols>
    <col min="1" max="1" width="23.625" style="61" customWidth="1"/>
    <col min="2" max="3" width="10.5" style="61" customWidth="1"/>
    <col min="4" max="4" width="11.25" style="61" customWidth="1"/>
    <col min="5" max="5" width="9" style="61"/>
    <col min="6" max="6" width="15.5" style="61" bestFit="1" customWidth="1"/>
    <col min="7" max="7" width="12.75" style="61" customWidth="1"/>
    <col min="8" max="8" width="12" style="61" customWidth="1"/>
    <col min="9" max="9" width="9.875" style="61" customWidth="1"/>
    <col min="10" max="16384" width="9" style="61"/>
  </cols>
  <sheetData>
    <row r="1" spans="1:12" ht="44.25" customHeight="1" x14ac:dyDescent="0.3">
      <c r="A1" s="249" t="s">
        <v>79</v>
      </c>
      <c r="B1" s="249"/>
      <c r="C1" s="249"/>
      <c r="D1" s="249"/>
      <c r="E1" s="249"/>
      <c r="F1" s="249"/>
      <c r="G1" s="249"/>
      <c r="H1" s="249"/>
      <c r="I1" s="249"/>
    </row>
    <row r="2" spans="1:12" x14ac:dyDescent="0.3">
      <c r="F2" s="80"/>
      <c r="G2" s="80"/>
      <c r="H2" s="250">
        <v>46120</v>
      </c>
      <c r="I2" s="250"/>
    </row>
    <row r="3" spans="1:12" x14ac:dyDescent="0.3">
      <c r="F3" s="80"/>
      <c r="G3" s="80"/>
      <c r="H3" s="251" t="s">
        <v>80</v>
      </c>
      <c r="I3" s="251"/>
    </row>
    <row r="4" spans="1:12" s="81" customFormat="1" ht="20.25" x14ac:dyDescent="0.3">
      <c r="A4" s="81" t="s">
        <v>81</v>
      </c>
      <c r="D4" s="82"/>
      <c r="F4" s="81" t="s">
        <v>82</v>
      </c>
      <c r="I4" s="82"/>
    </row>
    <row r="5" spans="1:12" ht="14.25" customHeight="1" thickBot="1" x14ac:dyDescent="0.35">
      <c r="F5" s="80"/>
      <c r="G5" s="80"/>
      <c r="H5" s="80"/>
      <c r="I5" s="80"/>
    </row>
    <row r="6" spans="1:12" ht="17.25" thickBot="1" x14ac:dyDescent="0.35">
      <c r="A6" s="252" t="s">
        <v>0</v>
      </c>
      <c r="B6" s="253"/>
      <c r="C6" s="83" t="s">
        <v>67</v>
      </c>
      <c r="D6" s="84" t="s">
        <v>66</v>
      </c>
      <c r="F6" s="85" t="s">
        <v>0</v>
      </c>
      <c r="G6" s="86" t="s">
        <v>71</v>
      </c>
      <c r="H6" s="87" t="s">
        <v>83</v>
      </c>
      <c r="I6" s="88" t="s">
        <v>70</v>
      </c>
    </row>
    <row r="7" spans="1:12" ht="20.25" customHeight="1" x14ac:dyDescent="0.3">
      <c r="A7" s="254" t="s">
        <v>84</v>
      </c>
      <c r="B7" s="89" t="s">
        <v>71</v>
      </c>
      <c r="C7" s="90">
        <v>170.27716781000001</v>
      </c>
      <c r="D7" s="91">
        <v>0</v>
      </c>
      <c r="F7" s="92" t="s">
        <v>84</v>
      </c>
      <c r="G7" s="93">
        <v>5152.6665299999986</v>
      </c>
      <c r="H7" s="94">
        <v>8000</v>
      </c>
      <c r="I7" s="95">
        <v>0.64408331624999982</v>
      </c>
      <c r="L7" s="96"/>
    </row>
    <row r="8" spans="1:12" ht="20.25" customHeight="1" x14ac:dyDescent="0.3">
      <c r="A8" s="247"/>
      <c r="B8" s="97" t="s">
        <v>68</v>
      </c>
      <c r="C8" s="98">
        <v>240</v>
      </c>
      <c r="D8" s="99">
        <v>33</v>
      </c>
      <c r="F8" s="100" t="s">
        <v>85</v>
      </c>
      <c r="G8" s="101">
        <v>19000</v>
      </c>
      <c r="H8" s="94">
        <v>19000</v>
      </c>
      <c r="I8" s="95">
        <v>1</v>
      </c>
    </row>
    <row r="9" spans="1:12" ht="20.25" customHeight="1" thickBot="1" x14ac:dyDescent="0.35">
      <c r="A9" s="255"/>
      <c r="B9" s="102" t="s">
        <v>70</v>
      </c>
      <c r="C9" s="103">
        <v>0.70948819920833339</v>
      </c>
      <c r="D9" s="104">
        <v>0</v>
      </c>
      <c r="F9" s="105" t="s">
        <v>86</v>
      </c>
      <c r="G9" s="106">
        <v>1300</v>
      </c>
      <c r="H9" s="107">
        <v>8000</v>
      </c>
      <c r="I9" s="108">
        <v>0.16250000000000001</v>
      </c>
    </row>
    <row r="10" spans="1:12" ht="20.25" customHeight="1" thickBot="1" x14ac:dyDescent="0.35">
      <c r="A10" s="256" t="s">
        <v>1</v>
      </c>
      <c r="B10" s="89" t="s">
        <v>71</v>
      </c>
      <c r="C10" s="90">
        <v>107.44832647</v>
      </c>
      <c r="D10" s="91">
        <v>42.395575000000001</v>
      </c>
      <c r="F10" s="109"/>
      <c r="G10" s="110">
        <v>25452.666529999999</v>
      </c>
      <c r="H10" s="111">
        <v>35000</v>
      </c>
      <c r="I10" s="112">
        <v>0.7272190437142857</v>
      </c>
    </row>
    <row r="11" spans="1:12" ht="20.25" customHeight="1" x14ac:dyDescent="0.3">
      <c r="A11" s="257"/>
      <c r="B11" s="97" t="s">
        <v>68</v>
      </c>
      <c r="C11" s="98">
        <v>182</v>
      </c>
      <c r="D11" s="99">
        <v>75</v>
      </c>
      <c r="F11" s="113"/>
      <c r="G11" s="114"/>
      <c r="H11" s="114"/>
      <c r="I11" s="115"/>
    </row>
    <row r="12" spans="1:12" ht="20.25" customHeight="1" thickBot="1" x14ac:dyDescent="0.35">
      <c r="A12" s="258"/>
      <c r="B12" s="102" t="s">
        <v>70</v>
      </c>
      <c r="C12" s="103">
        <v>0.59037542016483513</v>
      </c>
      <c r="D12" s="104">
        <v>0.56527433333333332</v>
      </c>
      <c r="F12" s="81" t="s">
        <v>87</v>
      </c>
      <c r="G12" s="81"/>
      <c r="H12" s="81"/>
      <c r="I12" s="82"/>
    </row>
    <row r="13" spans="1:12" ht="20.25" customHeight="1" thickBot="1" x14ac:dyDescent="0.35">
      <c r="A13" s="259" t="s">
        <v>86</v>
      </c>
      <c r="B13" s="89" t="s">
        <v>71</v>
      </c>
      <c r="C13" s="90">
        <v>0.68872011</v>
      </c>
      <c r="D13" s="91">
        <v>0</v>
      </c>
      <c r="F13" s="80"/>
      <c r="G13" s="80"/>
      <c r="H13" s="80"/>
      <c r="I13" s="80"/>
    </row>
    <row r="14" spans="1:12" ht="20.25" customHeight="1" thickBot="1" x14ac:dyDescent="0.35">
      <c r="A14" s="260"/>
      <c r="B14" s="97" t="s">
        <v>68</v>
      </c>
      <c r="C14" s="98">
        <v>18</v>
      </c>
      <c r="D14" s="99">
        <v>12</v>
      </c>
      <c r="F14" s="85" t="s">
        <v>0</v>
      </c>
      <c r="G14" s="86" t="s">
        <v>71</v>
      </c>
      <c r="H14" s="87" t="s">
        <v>83</v>
      </c>
      <c r="I14" s="88" t="s">
        <v>70</v>
      </c>
    </row>
    <row r="15" spans="1:12" ht="20.25" customHeight="1" thickTop="1" thickBot="1" x14ac:dyDescent="0.35">
      <c r="A15" s="262"/>
      <c r="B15" s="102" t="s">
        <v>70</v>
      </c>
      <c r="C15" s="103">
        <v>3.8262228333333335E-2</v>
      </c>
      <c r="D15" s="104">
        <v>0</v>
      </c>
      <c r="E15" s="116"/>
      <c r="F15" s="117" t="s">
        <v>84</v>
      </c>
      <c r="G15" s="118">
        <v>3902.6665299999986</v>
      </c>
      <c r="H15" s="119">
        <v>8000</v>
      </c>
      <c r="I15" s="120">
        <v>0.48783331624999982</v>
      </c>
      <c r="J15" s="116"/>
    </row>
    <row r="16" spans="1:12" ht="20.25" customHeight="1" x14ac:dyDescent="0.3">
      <c r="A16"/>
      <c r="B16"/>
      <c r="C16"/>
      <c r="D16"/>
      <c r="E16" s="116"/>
      <c r="F16" s="116"/>
      <c r="G16" s="116"/>
      <c r="H16" s="116"/>
      <c r="I16" s="116"/>
      <c r="J16" s="116"/>
    </row>
    <row r="17" spans="1:10" s="81" customFormat="1" ht="20.25" x14ac:dyDescent="0.3">
      <c r="A17" s="81" t="s">
        <v>88</v>
      </c>
      <c r="D17" s="82"/>
      <c r="F17" s="81" t="s">
        <v>89</v>
      </c>
      <c r="G17" s="116"/>
      <c r="H17" s="116"/>
      <c r="I17" s="116"/>
      <c r="J17" s="61"/>
    </row>
    <row r="18" spans="1:10" ht="11.25" customHeight="1" thickBot="1" x14ac:dyDescent="0.35"/>
    <row r="19" spans="1:10" ht="17.25" thickBot="1" x14ac:dyDescent="0.35">
      <c r="A19" s="252" t="s">
        <v>0</v>
      </c>
      <c r="B19" s="253"/>
      <c r="C19" s="83" t="s">
        <v>67</v>
      </c>
      <c r="D19" s="84" t="s">
        <v>66</v>
      </c>
      <c r="F19" s="121" t="s">
        <v>0</v>
      </c>
      <c r="G19" s="87" t="s">
        <v>90</v>
      </c>
      <c r="H19" s="88" t="s">
        <v>91</v>
      </c>
    </row>
    <row r="20" spans="1:10" ht="17.25" thickTop="1" x14ac:dyDescent="0.3">
      <c r="A20" s="254" t="s">
        <v>84</v>
      </c>
      <c r="B20" s="89" t="s">
        <v>71</v>
      </c>
      <c r="C20" s="90">
        <v>290.18142880316822</v>
      </c>
      <c r="D20" s="91">
        <v>0</v>
      </c>
      <c r="F20" s="263" t="s">
        <v>84</v>
      </c>
      <c r="G20" s="122" t="s">
        <v>84</v>
      </c>
      <c r="H20" s="123">
        <v>0.57511777201910086</v>
      </c>
    </row>
    <row r="21" spans="1:10" ht="17.25" thickBot="1" x14ac:dyDescent="0.35">
      <c r="A21" s="247"/>
      <c r="B21" s="97" t="s">
        <v>68</v>
      </c>
      <c r="C21" s="98">
        <v>400</v>
      </c>
      <c r="D21" s="99">
        <v>33</v>
      </c>
      <c r="F21" s="264"/>
      <c r="G21" s="124" t="s">
        <v>92</v>
      </c>
      <c r="H21" s="125">
        <v>2.1553355849807341</v>
      </c>
    </row>
    <row r="22" spans="1:10" ht="18" thickTop="1" thickBot="1" x14ac:dyDescent="0.35">
      <c r="A22" s="248"/>
      <c r="B22" s="126" t="s">
        <v>70</v>
      </c>
      <c r="C22" s="127">
        <v>0.72545357200792049</v>
      </c>
      <c r="D22" s="128">
        <v>0</v>
      </c>
      <c r="F22" s="129" t="s">
        <v>65</v>
      </c>
      <c r="G22" s="244">
        <v>2.7304533569998348</v>
      </c>
      <c r="H22" s="245"/>
    </row>
    <row r="23" spans="1:10" ht="18" hidden="1" customHeight="1" thickTop="1" thickBot="1" x14ac:dyDescent="0.35">
      <c r="A23" s="246" t="s">
        <v>93</v>
      </c>
      <c r="B23" s="89" t="s">
        <v>71</v>
      </c>
      <c r="C23" s="90">
        <v>0</v>
      </c>
      <c r="D23" s="91" t="e">
        <v>#REF!</v>
      </c>
      <c r="F23" s="130"/>
      <c r="G23" s="94"/>
      <c r="H23" s="131"/>
    </row>
    <row r="24" spans="1:10" ht="18" hidden="1" customHeight="1" thickTop="1" thickBot="1" x14ac:dyDescent="0.35">
      <c r="A24" s="247"/>
      <c r="B24" s="97" t="s">
        <v>68</v>
      </c>
      <c r="C24" s="98">
        <v>0</v>
      </c>
      <c r="D24" s="99">
        <v>0</v>
      </c>
      <c r="F24" s="132"/>
      <c r="G24" s="133"/>
      <c r="H24" s="134"/>
    </row>
    <row r="25" spans="1:10" ht="18" hidden="1" customHeight="1" thickTop="1" thickBot="1" x14ac:dyDescent="0.35">
      <c r="A25" s="248"/>
      <c r="B25" s="126" t="s">
        <v>70</v>
      </c>
      <c r="C25" s="127" t="e">
        <v>#DIV/0!</v>
      </c>
      <c r="D25" s="128" t="e">
        <v>#REF!</v>
      </c>
      <c r="F25" s="132"/>
      <c r="G25" s="133"/>
      <c r="H25" s="134"/>
    </row>
    <row r="26" spans="1:10" ht="17.25" thickTop="1" x14ac:dyDescent="0.3">
      <c r="A26" s="265" t="s">
        <v>85</v>
      </c>
      <c r="B26" s="89" t="s">
        <v>71</v>
      </c>
      <c r="C26" s="90">
        <v>29.787861637356773</v>
      </c>
      <c r="D26" s="91">
        <v>19.538869330000001</v>
      </c>
      <c r="F26" s="266" t="s">
        <v>1</v>
      </c>
      <c r="G26" s="135" t="s">
        <v>94</v>
      </c>
      <c r="H26" s="136">
        <v>0.51977563306583829</v>
      </c>
    </row>
    <row r="27" spans="1:10" x14ac:dyDescent="0.3">
      <c r="A27" s="260"/>
      <c r="B27" s="97" t="s">
        <v>68</v>
      </c>
      <c r="C27" s="98">
        <v>143</v>
      </c>
      <c r="D27" s="99">
        <v>112</v>
      </c>
      <c r="F27" s="257"/>
      <c r="G27" s="78" t="s">
        <v>95</v>
      </c>
      <c r="H27" s="136">
        <v>0.26832179598263162</v>
      </c>
    </row>
    <row r="28" spans="1:10" ht="17.25" thickBot="1" x14ac:dyDescent="0.35">
      <c r="A28" s="261"/>
      <c r="B28" s="126" t="s">
        <v>70</v>
      </c>
      <c r="C28" s="127">
        <v>0.20830672473676065</v>
      </c>
      <c r="D28" s="128">
        <v>0.17445419044642857</v>
      </c>
      <c r="F28" s="257"/>
      <c r="G28" s="78" t="s">
        <v>96</v>
      </c>
      <c r="H28" s="136">
        <v>0.15579584626433199</v>
      </c>
    </row>
    <row r="29" spans="1:10" ht="18" thickTop="1" thickBot="1" x14ac:dyDescent="0.35">
      <c r="A29" s="265" t="s">
        <v>86</v>
      </c>
      <c r="B29" s="137" t="s">
        <v>71</v>
      </c>
      <c r="C29" s="138">
        <v>2.3279779769901725</v>
      </c>
      <c r="D29" s="139">
        <v>0.38113741000000001</v>
      </c>
      <c r="F29" s="264"/>
      <c r="G29" s="66" t="s">
        <v>97</v>
      </c>
      <c r="H29" s="136">
        <v>7.9675721328992005E-2</v>
      </c>
    </row>
    <row r="30" spans="1:10" ht="18" thickTop="1" thickBot="1" x14ac:dyDescent="0.35">
      <c r="A30" s="260"/>
      <c r="B30" s="97" t="s">
        <v>68</v>
      </c>
      <c r="C30" s="98">
        <v>18</v>
      </c>
      <c r="D30" s="99">
        <v>12</v>
      </c>
      <c r="F30" s="129" t="s">
        <v>65</v>
      </c>
      <c r="G30" s="244">
        <v>1.0235689966417938</v>
      </c>
      <c r="H30" s="245"/>
    </row>
    <row r="31" spans="1:10" ht="18" thickTop="1" thickBot="1" x14ac:dyDescent="0.35">
      <c r="A31" s="262"/>
      <c r="B31" s="102" t="s">
        <v>70</v>
      </c>
      <c r="C31" s="103">
        <v>0.12933210983278737</v>
      </c>
      <c r="D31" s="104">
        <v>3.1761450833333336E-2</v>
      </c>
      <c r="F31" s="140" t="s">
        <v>98</v>
      </c>
      <c r="G31" s="267">
        <v>3.7540223536416288</v>
      </c>
      <c r="H31" s="268"/>
    </row>
    <row r="32" spans="1:10" ht="16.5" hidden="1" customHeight="1" x14ac:dyDescent="0.3">
      <c r="A32" s="259" t="s">
        <v>99</v>
      </c>
      <c r="B32" s="141" t="s">
        <v>71</v>
      </c>
      <c r="C32" s="142">
        <v>0</v>
      </c>
      <c r="D32" s="143"/>
    </row>
    <row r="33" spans="1:17" ht="16.5" hidden="1" customHeight="1" x14ac:dyDescent="0.3">
      <c r="A33" s="260"/>
      <c r="B33" s="97" t="s">
        <v>68</v>
      </c>
      <c r="C33" s="98">
        <v>61</v>
      </c>
      <c r="D33" s="144"/>
    </row>
    <row r="34" spans="1:17" ht="17.25" hidden="1" customHeight="1" thickBot="1" x14ac:dyDescent="0.35">
      <c r="A34" s="261"/>
      <c r="B34" s="126" t="s">
        <v>70</v>
      </c>
      <c r="C34" s="127">
        <v>0</v>
      </c>
      <c r="D34" s="145"/>
    </row>
    <row r="35" spans="1:17" ht="16.5" hidden="1" customHeight="1" x14ac:dyDescent="0.3">
      <c r="A35" s="265" t="s">
        <v>100</v>
      </c>
      <c r="B35" s="141" t="s">
        <v>71</v>
      </c>
      <c r="C35" s="146" t="e">
        <v>#REF!</v>
      </c>
      <c r="D35" s="147" t="e">
        <v>#REF!</v>
      </c>
    </row>
    <row r="36" spans="1:17" ht="16.5" hidden="1" customHeight="1" x14ac:dyDescent="0.3">
      <c r="A36" s="260"/>
      <c r="B36" s="97" t="s">
        <v>68</v>
      </c>
      <c r="C36" s="142" t="e">
        <v>#REF!</v>
      </c>
      <c r="D36" s="147" t="e">
        <v>#REF!</v>
      </c>
    </row>
    <row r="37" spans="1:17" ht="17.25" hidden="1" customHeight="1" thickBot="1" x14ac:dyDescent="0.35">
      <c r="A37" s="262"/>
      <c r="B37" s="102" t="s">
        <v>70</v>
      </c>
      <c r="C37" s="103" t="e">
        <v>#REF!</v>
      </c>
      <c r="D37" s="104" t="e">
        <v>#REF!</v>
      </c>
    </row>
    <row r="38" spans="1:17" ht="12" customHeight="1" x14ac:dyDescent="0.3">
      <c r="F38" s="148" t="s">
        <v>101</v>
      </c>
    </row>
    <row r="39" spans="1:17" s="149" customFormat="1" ht="20.25" x14ac:dyDescent="0.3">
      <c r="A39" s="81" t="s">
        <v>102</v>
      </c>
      <c r="F39" s="61"/>
      <c r="K39" s="61"/>
    </row>
    <row r="40" spans="1:17" ht="13.5" customHeight="1" thickBot="1" x14ac:dyDescent="0.35">
      <c r="F40" s="149"/>
    </row>
    <row r="41" spans="1:17" ht="17.25" thickBot="1" x14ac:dyDescent="0.35">
      <c r="A41" s="150" t="s">
        <v>0</v>
      </c>
      <c r="B41" s="83" t="s">
        <v>71</v>
      </c>
      <c r="C41" s="151" t="s">
        <v>68</v>
      </c>
      <c r="D41" s="152" t="s">
        <v>70</v>
      </c>
      <c r="E41" s="152" t="s">
        <v>103</v>
      </c>
      <c r="F41" s="84" t="s">
        <v>104</v>
      </c>
    </row>
    <row r="42" spans="1:17" ht="34.5" thickBot="1" x14ac:dyDescent="0.35">
      <c r="A42" s="153" t="s">
        <v>84</v>
      </c>
      <c r="B42" s="154">
        <v>27304.533569998348</v>
      </c>
      <c r="C42" s="155" t="s">
        <v>105</v>
      </c>
      <c r="D42" s="156">
        <v>0.60676741266662992</v>
      </c>
      <c r="E42" s="157" t="s">
        <v>129</v>
      </c>
      <c r="F42" s="158" t="s">
        <v>106</v>
      </c>
      <c r="K42" s="149"/>
      <c r="P42" s="61">
        <f>9000-P43</f>
        <v>6000</v>
      </c>
      <c r="Q42" s="61">
        <v>3</v>
      </c>
    </row>
    <row r="43" spans="1:17" ht="17.25" customHeight="1" thickTop="1" thickBot="1" x14ac:dyDescent="0.35">
      <c r="A43" s="159" t="s">
        <v>107</v>
      </c>
      <c r="B43" s="160">
        <v>2.0623479502884448</v>
      </c>
      <c r="C43" s="161" t="s">
        <v>108</v>
      </c>
      <c r="D43" s="162" t="s">
        <v>108</v>
      </c>
      <c r="E43" s="163" t="s">
        <v>108</v>
      </c>
      <c r="F43" s="269" t="s">
        <v>109</v>
      </c>
      <c r="P43" s="164">
        <v>3000</v>
      </c>
      <c r="Q43" s="61">
        <v>10</v>
      </c>
    </row>
    <row r="44" spans="1:17" ht="16.5" customHeight="1" thickTop="1" x14ac:dyDescent="0.3">
      <c r="A44" s="165" t="s">
        <v>110</v>
      </c>
      <c r="B44" s="98">
        <v>0.53747104580656124</v>
      </c>
      <c r="C44" s="78" t="s">
        <v>111</v>
      </c>
      <c r="D44" s="166">
        <v>0.53747104580656124</v>
      </c>
      <c r="E44" s="167" t="s">
        <v>129</v>
      </c>
      <c r="F44" s="270"/>
      <c r="Q44" s="61">
        <f>SUMPRODUCT(P42:P43,Q42:Q43)</f>
        <v>48000</v>
      </c>
    </row>
    <row r="45" spans="1:17" x14ac:dyDescent="0.3">
      <c r="A45" s="168" t="s">
        <v>97</v>
      </c>
      <c r="B45" s="169">
        <v>0.37984049145928939</v>
      </c>
      <c r="C45" s="78" t="s">
        <v>111</v>
      </c>
      <c r="D45" s="166">
        <v>0.37984049145928939</v>
      </c>
      <c r="E45" s="167" t="s">
        <v>129</v>
      </c>
      <c r="F45" s="270"/>
    </row>
    <row r="46" spans="1:17" ht="17.25" thickBot="1" x14ac:dyDescent="0.35">
      <c r="A46" s="170" t="s">
        <v>112</v>
      </c>
      <c r="B46" s="171">
        <v>0.47011070441256969</v>
      </c>
      <c r="C46" s="172" t="s">
        <v>113</v>
      </c>
      <c r="D46" s="173">
        <v>0.94022140882513938</v>
      </c>
      <c r="E46" s="174" t="s">
        <v>129</v>
      </c>
      <c r="F46" s="271"/>
    </row>
    <row r="47" spans="1:17" s="81" customFormat="1" ht="20.25" x14ac:dyDescent="0.3">
      <c r="A47" s="61"/>
      <c r="B47" s="61"/>
      <c r="C47" s="61"/>
      <c r="D47" s="61"/>
      <c r="E47" s="61"/>
      <c r="F47" s="61"/>
      <c r="G47" s="61"/>
      <c r="H47" s="61"/>
      <c r="I47" s="61"/>
      <c r="K47" s="61"/>
    </row>
    <row r="48" spans="1:17" s="79" customFormat="1" ht="22.5" customHeight="1" x14ac:dyDescent="0.3">
      <c r="A48" s="81" t="s">
        <v>114</v>
      </c>
      <c r="B48" s="81"/>
      <c r="C48" s="81"/>
      <c r="D48" s="81"/>
      <c r="E48" s="81"/>
      <c r="F48" s="81"/>
      <c r="G48" s="81"/>
      <c r="H48" s="81"/>
      <c r="I48" s="81"/>
      <c r="K48" s="61"/>
    </row>
    <row r="49" spans="1:11" ht="17.25" thickBot="1" x14ac:dyDescent="0.35">
      <c r="A49" s="175" t="s">
        <v>115</v>
      </c>
      <c r="B49" s="79"/>
      <c r="C49" s="79"/>
      <c r="D49" s="79"/>
      <c r="E49" s="79"/>
      <c r="F49" s="79"/>
      <c r="G49" s="79"/>
      <c r="H49" s="82"/>
      <c r="I49" s="79"/>
    </row>
    <row r="50" spans="1:11" ht="15.75" customHeight="1" thickBot="1" x14ac:dyDescent="0.35">
      <c r="A50" s="252" t="s">
        <v>0</v>
      </c>
      <c r="B50" s="253"/>
      <c r="C50" s="83" t="s">
        <v>71</v>
      </c>
      <c r="D50" s="151" t="s">
        <v>68</v>
      </c>
      <c r="E50" s="152" t="s">
        <v>70</v>
      </c>
      <c r="F50" s="152" t="s">
        <v>103</v>
      </c>
      <c r="G50" s="272" t="s">
        <v>104</v>
      </c>
      <c r="H50" s="253"/>
      <c r="K50" s="81"/>
    </row>
    <row r="51" spans="1:11" ht="17.25" hidden="1" customHeight="1" thickBot="1" x14ac:dyDescent="0.35">
      <c r="A51" s="273" t="s">
        <v>116</v>
      </c>
      <c r="B51" s="274"/>
      <c r="C51" s="176">
        <v>0</v>
      </c>
      <c r="D51" s="177" t="s">
        <v>117</v>
      </c>
      <c r="E51" s="178">
        <v>0</v>
      </c>
      <c r="F51" s="152" t="s">
        <v>129</v>
      </c>
      <c r="G51" s="275"/>
      <c r="H51" s="274"/>
      <c r="K51" s="79"/>
    </row>
    <row r="52" spans="1:11" ht="18" hidden="1" customHeight="1" thickBot="1" x14ac:dyDescent="0.35">
      <c r="A52" s="276" t="s">
        <v>118</v>
      </c>
      <c r="B52" s="277"/>
      <c r="C52" s="179">
        <v>0</v>
      </c>
      <c r="D52" s="180" t="s">
        <v>119</v>
      </c>
      <c r="E52" s="181">
        <v>0</v>
      </c>
      <c r="F52" s="182" t="s">
        <v>129</v>
      </c>
      <c r="G52" s="278"/>
      <c r="H52" s="277"/>
    </row>
    <row r="53" spans="1:11" ht="17.25" thickBot="1" x14ac:dyDescent="0.35">
      <c r="A53" s="279" t="s">
        <v>120</v>
      </c>
      <c r="B53" s="280"/>
      <c r="C53" s="183">
        <v>0</v>
      </c>
      <c r="D53" s="172" t="s">
        <v>119</v>
      </c>
      <c r="E53" s="173">
        <v>0</v>
      </c>
      <c r="F53" s="174" t="s">
        <v>129</v>
      </c>
      <c r="G53" s="281" t="s">
        <v>121</v>
      </c>
      <c r="H53" s="280"/>
    </row>
    <row r="54" spans="1:11" ht="8.25" customHeight="1" x14ac:dyDescent="0.3"/>
    <row r="55" spans="1:11" s="79" customFormat="1" ht="22.5" customHeight="1" x14ac:dyDescent="0.3">
      <c r="A55" s="61"/>
      <c r="B55" s="61"/>
      <c r="C55" s="61"/>
      <c r="D55" s="61"/>
      <c r="E55" s="61"/>
      <c r="F55" s="61"/>
      <c r="G55" s="61"/>
      <c r="H55" s="61"/>
      <c r="I55" s="61"/>
      <c r="K55" s="61"/>
    </row>
    <row r="56" spans="1:11" ht="17.25" thickBot="1" x14ac:dyDescent="0.35">
      <c r="A56" s="175" t="s">
        <v>122</v>
      </c>
      <c r="B56" s="79"/>
      <c r="C56" s="79"/>
      <c r="D56" s="79"/>
      <c r="E56" s="79"/>
      <c r="F56" s="79"/>
      <c r="G56" s="79"/>
      <c r="H56" s="79"/>
      <c r="I56" s="79"/>
    </row>
    <row r="57" spans="1:11" ht="17.25" thickBot="1" x14ac:dyDescent="0.35">
      <c r="A57" s="252" t="s">
        <v>0</v>
      </c>
      <c r="B57" s="253"/>
      <c r="C57" s="83" t="s">
        <v>71</v>
      </c>
      <c r="D57" s="151" t="s">
        <v>68</v>
      </c>
      <c r="E57" s="152" t="s">
        <v>70</v>
      </c>
      <c r="F57" s="152" t="s">
        <v>103</v>
      </c>
      <c r="G57" s="272" t="s">
        <v>104</v>
      </c>
      <c r="H57" s="253"/>
    </row>
    <row r="58" spans="1:11" x14ac:dyDescent="0.3">
      <c r="A58" s="276" t="s">
        <v>123</v>
      </c>
      <c r="B58" s="277"/>
      <c r="C58" s="184">
        <v>0</v>
      </c>
      <c r="D58" s="180">
        <v>130</v>
      </c>
      <c r="E58" s="181">
        <v>0</v>
      </c>
      <c r="F58" s="182" t="s">
        <v>129</v>
      </c>
      <c r="G58" s="278"/>
      <c r="H58" s="277"/>
      <c r="K58" s="79"/>
    </row>
    <row r="59" spans="1:11" x14ac:dyDescent="0.3">
      <c r="A59" s="287" t="s">
        <v>124</v>
      </c>
      <c r="B59" s="288"/>
      <c r="C59" s="185">
        <v>0</v>
      </c>
      <c r="D59" s="186">
        <v>65</v>
      </c>
      <c r="E59" s="166">
        <v>0</v>
      </c>
      <c r="F59" s="167" t="s">
        <v>129</v>
      </c>
      <c r="G59" s="214"/>
      <c r="H59" s="288"/>
    </row>
    <row r="60" spans="1:11" ht="17.25" thickBot="1" x14ac:dyDescent="0.35">
      <c r="A60" s="279" t="s">
        <v>125</v>
      </c>
      <c r="B60" s="280"/>
      <c r="C60" s="187">
        <v>0</v>
      </c>
      <c r="D60" s="188">
        <v>130</v>
      </c>
      <c r="E60" s="173">
        <v>0</v>
      </c>
      <c r="F60" s="174" t="s">
        <v>129</v>
      </c>
      <c r="G60" s="281"/>
      <c r="H60" s="280"/>
    </row>
    <row r="61" spans="1:11" s="79" customFormat="1" ht="22.5" hidden="1" customHeight="1" thickBot="1" x14ac:dyDescent="0.35">
      <c r="A61" s="61"/>
      <c r="B61" s="61"/>
      <c r="C61" s="61"/>
      <c r="D61" s="61"/>
      <c r="E61" s="61"/>
      <c r="F61" s="61"/>
      <c r="G61" s="61"/>
      <c r="H61" s="61"/>
      <c r="I61" s="61"/>
      <c r="K61" s="61"/>
    </row>
    <row r="62" spans="1:11" hidden="1" x14ac:dyDescent="0.3">
      <c r="A62" s="175" t="s">
        <v>126</v>
      </c>
      <c r="B62" s="79"/>
      <c r="C62" s="79"/>
      <c r="D62" s="79"/>
      <c r="E62" s="79"/>
      <c r="F62" s="79"/>
      <c r="G62" s="79"/>
      <c r="H62" s="82"/>
      <c r="I62" s="79"/>
    </row>
    <row r="63" spans="1:11" ht="17.25" hidden="1" thickBot="1" x14ac:dyDescent="0.35">
      <c r="A63" s="282" t="s">
        <v>0</v>
      </c>
      <c r="B63" s="283"/>
      <c r="C63" s="83" t="s">
        <v>71</v>
      </c>
      <c r="D63" s="151" t="s">
        <v>68</v>
      </c>
      <c r="E63" s="152" t="s">
        <v>70</v>
      </c>
      <c r="F63" s="152" t="s">
        <v>103</v>
      </c>
      <c r="G63" s="284" t="s">
        <v>104</v>
      </c>
      <c r="H63" s="283"/>
    </row>
    <row r="64" spans="1:11" hidden="1" x14ac:dyDescent="0.3">
      <c r="A64" s="285" t="s">
        <v>116</v>
      </c>
      <c r="B64" s="286"/>
      <c r="C64" s="179"/>
      <c r="D64" s="180" t="s">
        <v>127</v>
      </c>
      <c r="E64" s="181">
        <f>C64/900</f>
        <v>0</v>
      </c>
      <c r="F64" s="157" t="str">
        <f>IF(E64&gt;1,"위반","OK")</f>
        <v>OK</v>
      </c>
      <c r="G64" s="226" t="s">
        <v>128</v>
      </c>
      <c r="H64" s="286"/>
      <c r="K64" s="79"/>
    </row>
    <row r="107" spans="8:10" x14ac:dyDescent="0.3">
      <c r="J107" s="61">
        <f>H108*I108</f>
        <v>2540</v>
      </c>
    </row>
    <row r="108" spans="8:10" x14ac:dyDescent="0.3">
      <c r="H108" s="61">
        <v>127</v>
      </c>
      <c r="I108" s="61">
        <v>20</v>
      </c>
      <c r="J108" s="61">
        <f>H109*I109</f>
        <v>4350</v>
      </c>
    </row>
    <row r="109" spans="8:10" x14ac:dyDescent="0.3">
      <c r="H109" s="61">
        <v>87</v>
      </c>
      <c r="I109" s="61">
        <v>50</v>
      </c>
      <c r="J109" s="61">
        <f>SUM(J107:J108)</f>
        <v>6890</v>
      </c>
    </row>
    <row r="110" spans="8:10" x14ac:dyDescent="0.3">
      <c r="I110" s="61">
        <f>SUM(I108:I109)</f>
        <v>70</v>
      </c>
      <c r="J110" s="61">
        <f>J109/I110</f>
        <v>98.428571428571431</v>
      </c>
    </row>
    <row r="133" spans="5:5" x14ac:dyDescent="0.3">
      <c r="E133" s="61">
        <v>125.85</v>
      </c>
    </row>
    <row r="134" spans="5:5" x14ac:dyDescent="0.3">
      <c r="E134" s="61">
        <v>126.69</v>
      </c>
    </row>
    <row r="135" spans="5:5" x14ac:dyDescent="0.3">
      <c r="E135" s="61">
        <v>127.3</v>
      </c>
    </row>
    <row r="136" spans="5:5" x14ac:dyDescent="0.3">
      <c r="E136" s="61">
        <v>126.8</v>
      </c>
    </row>
    <row r="137" spans="5:5" x14ac:dyDescent="0.3">
      <c r="E137" s="61">
        <v>126.8</v>
      </c>
    </row>
    <row r="138" spans="5:5" x14ac:dyDescent="0.3">
      <c r="E138" s="61">
        <f>AVERAGE(E133:E137)</f>
        <v>126.68799999999999</v>
      </c>
    </row>
  </sheetData>
  <mergeCells count="40">
    <mergeCell ref="A57:B57"/>
    <mergeCell ref="G57:H57"/>
    <mergeCell ref="A63:B63"/>
    <mergeCell ref="G63:H63"/>
    <mergeCell ref="A64:B64"/>
    <mergeCell ref="G64:H64"/>
    <mergeCell ref="A58:B58"/>
    <mergeCell ref="G58:H58"/>
    <mergeCell ref="A59:B59"/>
    <mergeCell ref="G59:H59"/>
    <mergeCell ref="A60:B60"/>
    <mergeCell ref="G60:H60"/>
    <mergeCell ref="A51:B51"/>
    <mergeCell ref="G51:H51"/>
    <mergeCell ref="A52:B52"/>
    <mergeCell ref="G52:H52"/>
    <mergeCell ref="A53:B53"/>
    <mergeCell ref="G53:H53"/>
    <mergeCell ref="G30:H30"/>
    <mergeCell ref="G31:H31"/>
    <mergeCell ref="A35:A37"/>
    <mergeCell ref="F43:F46"/>
    <mergeCell ref="A50:B50"/>
    <mergeCell ref="G50:H50"/>
    <mergeCell ref="A32:A34"/>
    <mergeCell ref="A13:A15"/>
    <mergeCell ref="A19:B19"/>
    <mergeCell ref="A20:A22"/>
    <mergeCell ref="F20:F21"/>
    <mergeCell ref="A26:A28"/>
    <mergeCell ref="F26:F29"/>
    <mergeCell ref="A29:A31"/>
    <mergeCell ref="G22:H22"/>
    <mergeCell ref="A23:A25"/>
    <mergeCell ref="A1:I1"/>
    <mergeCell ref="H2:I2"/>
    <mergeCell ref="H3:I3"/>
    <mergeCell ref="A6:B6"/>
    <mergeCell ref="A7:A9"/>
    <mergeCell ref="A10:A12"/>
  </mergeCells>
  <phoneticPr fontId="1" type="noConversion"/>
  <printOptions horizontalCentered="1" verticalCentered="1"/>
  <pageMargins left="0.51181102362204722" right="0.39370078740157483" top="0.74803149606299213" bottom="0.35433070866141736" header="0.31496062992125984" footer="0.15748031496062992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C40E-398A-47CA-8F9A-3653ADF0263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RP운용</vt:lpstr>
      <vt:lpstr>상품채권운용</vt:lpstr>
      <vt:lpstr>9999</vt:lpstr>
      <vt:lpstr>9994</vt:lpstr>
      <vt:lpstr>9992</vt:lpstr>
      <vt:lpstr>7120(원화)</vt:lpstr>
      <vt:lpstr>7120(외화)_K8224</vt:lpstr>
      <vt:lpstr>9988</vt:lpstr>
      <vt:lpstr>8226</vt:lpstr>
      <vt:lpstr>심포니</vt:lpstr>
      <vt:lpstr>국채선물</vt:lpstr>
      <vt:lpstr>일일위험관리(출력)</vt:lpstr>
      <vt:lpstr>Sheet9</vt:lpstr>
      <vt:lpstr>'일일위험관리(출력)'!Print_Area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kyobo</dc:creator>
  <cp:lastModifiedBy>USER</cp:lastModifiedBy>
  <cp:lastPrinted>2026-04-09T01:50:06Z</cp:lastPrinted>
  <dcterms:created xsi:type="dcterms:W3CDTF">2026-03-12T04:18:25Z</dcterms:created>
  <dcterms:modified xsi:type="dcterms:W3CDTF">2026-04-12T02:33:31Z</dcterms:modified>
</cp:coreProperties>
</file>